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ndemias\Agenda_planilha_temp\"/>
    </mc:Choice>
  </mc:AlternateContent>
  <xr:revisionPtr revIDLastSave="0" documentId="13_ncr:1_{02BB2659-23C9-414E-8E40-C0E9ED0B1E7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lendário" sheetId="1" r:id="rId1"/>
  </sheets>
  <definedNames>
    <definedName name="CalendárioAno1">Calendário!$B$1</definedName>
    <definedName name="CalendárioAno10">Calendário!$B$127</definedName>
    <definedName name="CalendárioAno11">Calendário!$B$141</definedName>
    <definedName name="CalendárioAno12">Calendário!#REF!</definedName>
    <definedName name="CalendárioAno2">Calendário!$B$15</definedName>
    <definedName name="CalendárioAno3">Calendário!$B$29</definedName>
    <definedName name="CalendárioAno4">Calendário!$B$43</definedName>
    <definedName name="CalendárioAno5">Calendário!$B$57</definedName>
    <definedName name="CalendárioAno6">Calendário!$B$71</definedName>
    <definedName name="CalendárioAno7">Calendário!$B$85</definedName>
    <definedName name="CalendárioAno8">Calendário!$B$99</definedName>
    <definedName name="CalendárioAno9">Calendário!$B$113</definedName>
    <definedName name="CaléndárioMês1">Calendário!$C$1</definedName>
    <definedName name="CaléndárioMês10">Calendário!$C$127</definedName>
    <definedName name="CaléndárioMês10Opção">MATCH(CaléndárioMês10,Meses,0)</definedName>
    <definedName name="CaléndárioMês11">Calendário!$C$141</definedName>
    <definedName name="CaléndárioMês11Opção">MATCH(CaléndárioMês11,Meses,0)</definedName>
    <definedName name="CaléndárioMês12">Calendário!#REF!</definedName>
    <definedName name="CaléndárioMês12Opção">MATCH(CaléndárioMês12,Meses,0)</definedName>
    <definedName name="CaléndárioMês1Opção">MATCH(CaléndárioMês1,Meses,0)</definedName>
    <definedName name="CaléndárioMês2">Calendário!$C$15</definedName>
    <definedName name="CaléndárioMês2Opção">MATCH(CaléndárioMês2,Meses,0)</definedName>
    <definedName name="CaléndárioMês3">Calendário!$C$29</definedName>
    <definedName name="CaléndárioMês3Opção">MATCH(CaléndárioMês3,Meses,0)</definedName>
    <definedName name="CaléndárioMês4">Calendário!$C$43</definedName>
    <definedName name="CaléndárioMês4Opção">MATCH(CaléndárioMês4,Meses,0)</definedName>
    <definedName name="CaléndárioMês5">Calendário!$C$57</definedName>
    <definedName name="CaléndárioMês5Opção">MATCH(CaléndárioMês5,Meses,0)</definedName>
    <definedName name="CaléndárioMês6">Calendário!$C$71</definedName>
    <definedName name="CaléndárioMês6Opção">MATCH(CaléndárioMês6,Meses,0)</definedName>
    <definedName name="CaléndárioMês7">Calendário!$C$85</definedName>
    <definedName name="CaléndárioMês7Opção">MATCH(CaléndárioMês7,Meses,0)</definedName>
    <definedName name="CaléndárioMês8">Calendário!$C$99</definedName>
    <definedName name="CaléndárioMês8Opção">MATCH(CaléndárioMês8,Meses,0)</definedName>
    <definedName name="CaléndárioMês9">Calendário!$C$113</definedName>
    <definedName name="CaléndárioMês9Opção">MATCH(CaléndárioMês9,Meses,0)</definedName>
    <definedName name="DiaDaSemanaOpção">MATCH(InícioDaSemana,DiasDaSemana,0)+10</definedName>
    <definedName name="Dias">{0,1,2,3,4,5,6}</definedName>
    <definedName name="DiasDaSemana">{"SEGUNDA-FEIRA","TERÇA-FEIRA","QUARTA-FEIRA","QUINTA-FEIRA","SEXTA-FEIRA","SÁBADO","DOMINGO"}</definedName>
    <definedName name="Google_Sheet_Link_1019985329" hidden="1">RegiãoTítuloColuna29..C140.1</definedName>
    <definedName name="Google_Sheet_Link_1032771395" hidden="1">RegiãoTítuloColuna16..H82.1</definedName>
    <definedName name="Google_Sheet_Link_1111351850" hidden="1">CalendárioAno1</definedName>
    <definedName name="Google_Sheet_Link_1143701369" hidden="1">CaléndárioMês11</definedName>
    <definedName name="Google_Sheet_Link_1191682148" hidden="1">CaléndárioMês7</definedName>
    <definedName name="Google_Sheet_Link_119205300" hidden="1">CalendárioAno8</definedName>
    <definedName name="Google_Sheet_Link_1253501216" hidden="1">RegiãoTítuloColuna11..C56.1</definedName>
    <definedName name="Google_Sheet_Link_1329534551" hidden="1">RegiãoTítuloColuna13..H68.1</definedName>
    <definedName name="Google_Sheet_Link_1478976883" hidden="1">RegiãoTítuloColuna30..D140.1</definedName>
    <definedName name="Google_Sheet_Link_151674697" hidden="1">RegiãoTítuloColuna6..D28.1</definedName>
    <definedName name="Google_Sheet_Link_1536552182" hidden="1">CaléndárioMês8</definedName>
    <definedName name="Google_Sheet_Link_1551224265" hidden="1">RegiãoTítuloColuna27..D126.1</definedName>
    <definedName name="Google_Sheet_Link_1576631022" hidden="1">CalendárioAno11</definedName>
    <definedName name="Google_Sheet_Link_1608095548" hidden="1">CaléndárioMês6</definedName>
    <definedName name="Google_Sheet_Link_1628882308" hidden="1">CalendárioAno2</definedName>
    <definedName name="Google_Sheet_Link_1654216111" hidden="1">RegiãoTítuloColuna4..H26.1</definedName>
    <definedName name="Google_Sheet_Link_169406162" hidden="1">CaléndárioMês1</definedName>
    <definedName name="Google_Sheet_Link_1705277501" hidden="1">RegiãoTítuloColuna1..H12.1</definedName>
    <definedName name="Google_Sheet_Link_1726682282" hidden="1">CaléndárioMês5</definedName>
    <definedName name="Google_Sheet_Link_1862940691" hidden="1">RegiãoTítuloColuna31..H152.1</definedName>
    <definedName name="Google_Sheet_Link_1866798792" hidden="1">RegiãoTítuloColuna3..D14.1</definedName>
    <definedName name="Google_Sheet_Link_1883945795" hidden="1">RegiãoTítuloColuna5..C28.1</definedName>
    <definedName name="Google_Sheet_Link_1916725374" hidden="1">RegiãoTítuloColuna28..H138.1</definedName>
    <definedName name="Google_Sheet_Link_1993081761" hidden="1">RegiãoTítuloColuna12..D56.1</definedName>
    <definedName name="Google_Sheet_Link_1993818727" hidden="1">RegiãoTítuloColuna17..C84.1</definedName>
    <definedName name="Google_Sheet_Link_2004272971" hidden="1">CaléndárioMês3</definedName>
    <definedName name="Google_Sheet_Link_2022550549" hidden="1">RegiãoTítuloColuna34..H166.1</definedName>
    <definedName name="Google_Sheet_Link_2026633171" hidden="1">CalendárioAno6</definedName>
    <definedName name="Google_Sheet_Link_2045370836" hidden="1">RegiãoTítuloColuna20..C98.1</definedName>
    <definedName name="Google_Sheet_Link_2057032245" hidden="1">RegiãoTítuloColuna15..D70.1</definedName>
    <definedName name="Google_Sheet_Link_2063771920" hidden="1">RegiãoTítuloColuna22..H110.1</definedName>
    <definedName name="Google_Sheet_Link_207957040" hidden="1">InícioDaSemana</definedName>
    <definedName name="Google_Sheet_Link_2087323400" hidden="1">RegiãoTítuloColuna8..C42.1</definedName>
    <definedName name="Google_Sheet_Link_209653345" hidden="1">RegiãoTítuloColuna36..D168.1</definedName>
    <definedName name="Google_Sheet_Link_2102121456" hidden="1">RegiãoTítuloColuna9..D42.1</definedName>
    <definedName name="Google_Sheet_Link_2111496105" hidden="1">CalendárioAno9</definedName>
    <definedName name="Google_Sheet_Link_2115361072" hidden="1">RegiãoTítuloColuna7..H40.1</definedName>
    <definedName name="Google_Sheet_Link_2119377793" hidden="1">RegiãoTítuloColuna21..D98.1</definedName>
    <definedName name="Google_Sheet_Link_2140638900" hidden="1">CaléndárioMês9</definedName>
    <definedName name="Google_Sheet_Link_273238549" hidden="1">RegiãoTítuloColuna32..C154.1</definedName>
    <definedName name="Google_Sheet_Link_304678346" hidden="1">CaléndárioMês12</definedName>
    <definedName name="Google_Sheet_Link_356592429" hidden="1">CaléndárioMês10</definedName>
    <definedName name="Google_Sheet_Link_401088618" hidden="1">CalendárioAno4</definedName>
    <definedName name="Google_Sheet_Link_41848181" hidden="1">CalendárioAno12</definedName>
    <definedName name="Google_Sheet_Link_466816265" hidden="1">RegiãoTítuloColuna33..D154.1</definedName>
    <definedName name="Google_Sheet_Link_503344288" hidden="1">CalendárioAno7</definedName>
    <definedName name="Google_Sheet_Link_506930420" hidden="1">RegiãoTítuloColuna24..D112.1</definedName>
    <definedName name="Google_Sheet_Link_517499508" hidden="1">RegiãoTítuloColuna14..C70.1</definedName>
    <definedName name="Google_Sheet_Link_539792529" hidden="1">RegiãoTítuloColuna10..H54.1</definedName>
    <definedName name="Google_Sheet_Link_561812085" hidden="1">CalendárioAno3</definedName>
    <definedName name="Google_Sheet_Link_577043892" hidden="1">RegiãoTítuloColuna23..C112.1</definedName>
    <definedName name="Google_Sheet_Link_613971781" hidden="1">CaléndárioMês4</definedName>
    <definedName name="Google_Sheet_Link_647311237" hidden="1">RegiãoTítuloColuna19..H96.1</definedName>
    <definedName name="Google_Sheet_Link_682699895" hidden="1">CalendárioAno10</definedName>
    <definedName name="Google_Sheet_Link_734828565" hidden="1">RegiãoTítuloColuna26..C126.1</definedName>
    <definedName name="Google_Sheet_Link_743918964" hidden="1">CalendárioAno5</definedName>
    <definedName name="Google_Sheet_Link_805105603" hidden="1">CaléndárioMês2</definedName>
    <definedName name="Google_Sheet_Link_811201133" hidden="1">RegiãoTítuloColuna18..D84.1</definedName>
    <definedName name="Google_Sheet_Link_835266609" hidden="1">RegiãoTítuloColuna35..C168.1</definedName>
    <definedName name="Google_Sheet_Link_886978837" hidden="1">RegiãoTítuloColuna25..H124.1</definedName>
    <definedName name="Google_Sheet_Link_983374712" hidden="1">RegiãoTítuloColuna2..C14.1</definedName>
    <definedName name="InícioDaSemana">Calendário!$B$2</definedName>
    <definedName name="Meses">{"janeiro","fevereiro","março","abril","maio","junho","julho","agosto","setembro","outubro","novembro","dezembro"}</definedName>
    <definedName name="RegiãoTítuloColuna1..H12.1">Calendário!$B$2</definedName>
    <definedName name="RegiãoTítuloColuna10..H54.1">Calendário!$B$44</definedName>
    <definedName name="RegiãoTítuloColuna11..C56.1">Calendário!$B$44</definedName>
    <definedName name="RegiãoTítuloColuna12..D56.1">Calendário!$D$55</definedName>
    <definedName name="RegiãoTítuloColuna13..H68.1">Calendário!$B$58</definedName>
    <definedName name="RegiãoTítuloColuna14..C70.1">Calendário!$B$58</definedName>
    <definedName name="RegiãoTítuloColuna15..D70.1">Calendário!$D$69</definedName>
    <definedName name="RegiãoTítuloColuna16..H82.1">Calendário!$B$72</definedName>
    <definedName name="RegiãoTítuloColuna17..C84.1">Calendário!$B$72</definedName>
    <definedName name="RegiãoTítuloColuna18..D84.1">Calendário!$D$83</definedName>
    <definedName name="RegiãoTítuloColuna19..H96.1">Calendário!$B$86</definedName>
    <definedName name="RegiãoTítuloColuna2..C14.1">Calendário!$B$2</definedName>
    <definedName name="RegiãoTítuloColuna20..C98.1">Calendário!$B$86</definedName>
    <definedName name="RegiãoTítuloColuna21..D98.1">Calendário!$D$97</definedName>
    <definedName name="RegiãoTítuloColuna22..H110.1">Calendário!$B$100</definedName>
    <definedName name="RegiãoTítuloColuna23..C112.1">Calendário!$B$100</definedName>
    <definedName name="RegiãoTítuloColuna24..D112.1">Calendário!$D$111</definedName>
    <definedName name="RegiãoTítuloColuna25..H124.1">Calendário!$B$114</definedName>
    <definedName name="RegiãoTítuloColuna26..C126.1">Calendário!$B$114</definedName>
    <definedName name="RegiãoTítuloColuna27..D126.1">Calendário!$D$125</definedName>
    <definedName name="RegiãoTítuloColuna28..H138.1">Calendário!$B$128</definedName>
    <definedName name="RegiãoTítuloColuna29..C140.1">Calendário!$B$128</definedName>
    <definedName name="RegiãoTítuloColuna3..D14.1">Calendário!$D$13</definedName>
    <definedName name="RegiãoTítuloColuna30..D140.1">Calendário!$D$139</definedName>
    <definedName name="RegiãoTítuloColuna31..H152.1">Calendário!$B$142</definedName>
    <definedName name="RegiãoTítuloColuna32..C154.1">Calendário!$B$142</definedName>
    <definedName name="RegiãoTítuloColuna33..D154.1">Calendário!$D$153</definedName>
    <definedName name="RegiãoTítuloColuna34..H166.1">Calendário!#REF!</definedName>
    <definedName name="RegiãoTítuloColuna35..C168.1">Calendário!#REF!</definedName>
    <definedName name="RegiãoTítuloColuna36..D168.1">Calendário!#REF!</definedName>
    <definedName name="RegiãoTítuloColuna4..H26.1">Calendário!$B$16</definedName>
    <definedName name="RegiãoTítuloColuna5..C28.1">Calendário!$B$16</definedName>
    <definedName name="RegiãoTítuloColuna6..D28.1">Calendário!$D$27</definedName>
    <definedName name="RegiãoTítuloColuna7..H40.1">Calendário!$B$30</definedName>
    <definedName name="RegiãoTítuloColuna8..C42.1">Calendário!$B$30</definedName>
    <definedName name="RegiãoTítuloColuna9..D42.1">Calendário!$D$41</definedName>
    <definedName name="ValorDoInícioDaSemana">IF(InícioDaSemana="SEGUNDA-FEIRA",2,1)</definedName>
  </definedNames>
  <calcPr calcId="181029"/>
  <extLst>
    <ext uri="GoogleSheetsCustomDataVersion2">
      <go:sheetsCustomData xmlns:go="http://customooxmlschemas.google.com/" r:id="rId6" roundtripDataChecksum="x7/BL2kACcgPGHnojAGDBO23t2pY3nssfYSa0Typ3k8="/>
    </ext>
  </extLst>
</workbook>
</file>

<file path=xl/calcChain.xml><?xml version="1.0" encoding="utf-8"?>
<calcChain xmlns="http://schemas.openxmlformats.org/spreadsheetml/2006/main">
  <c r="C15" i="1" l="1"/>
  <c r="B15" i="1"/>
  <c r="B13" i="1" a="1"/>
  <c r="C13" i="1" s="1"/>
  <c r="F11" i="1"/>
  <c r="E11" i="1"/>
  <c r="B11" i="1" a="1"/>
  <c r="D11" i="1" s="1"/>
  <c r="B9" i="1" a="1"/>
  <c r="F9" i="1" s="1"/>
  <c r="B7" i="1" a="1"/>
  <c r="F7" i="1" s="1"/>
  <c r="B5" i="1" a="1"/>
  <c r="G5" i="1" s="1"/>
  <c r="B3" i="1" a="1"/>
  <c r="C3" i="1" s="1"/>
  <c r="C2" i="1" s="1"/>
  <c r="B11" i="1" l="1"/>
  <c r="B29" i="1"/>
  <c r="B23" i="1" a="1"/>
  <c r="H23" i="1" s="1"/>
  <c r="B21" i="1" a="1"/>
  <c r="F21" i="1" s="1"/>
  <c r="E7" i="1"/>
  <c r="B13" i="1"/>
  <c r="B17" i="1" a="1"/>
  <c r="F17" i="1" s="1"/>
  <c r="F16" i="1" s="1"/>
  <c r="B25" i="1" a="1"/>
  <c r="F25" i="1" s="1"/>
  <c r="D7" i="1"/>
  <c r="B7" i="1"/>
  <c r="B19" i="1" a="1"/>
  <c r="G19" i="1" s="1"/>
  <c r="B27" i="1" a="1"/>
  <c r="C27" i="1" s="1"/>
  <c r="F3" i="1"/>
  <c r="F2" i="1" s="1"/>
  <c r="G3" i="1"/>
  <c r="G2" i="1" s="1"/>
  <c r="D3" i="1"/>
  <c r="D2" i="1" s="1"/>
  <c r="H3" i="1"/>
  <c r="H2" i="1" s="1"/>
  <c r="D9" i="1"/>
  <c r="B3" i="1"/>
  <c r="E3" i="1"/>
  <c r="E2" i="1" s="1"/>
  <c r="B5" i="1"/>
  <c r="E5" i="1"/>
  <c r="G7" i="1"/>
  <c r="C7" i="1"/>
  <c r="H7" i="1"/>
  <c r="E9" i="1"/>
  <c r="G11" i="1"/>
  <c r="C11" i="1"/>
  <c r="H11" i="1"/>
  <c r="F5" i="1"/>
  <c r="B9" i="1"/>
  <c r="H19" i="1"/>
  <c r="D19" i="1"/>
  <c r="G23" i="1"/>
  <c r="C23" i="1"/>
  <c r="G9" i="1"/>
  <c r="C9" i="1"/>
  <c r="H9" i="1"/>
  <c r="C5" i="1"/>
  <c r="H5" i="1"/>
  <c r="D5" i="1"/>
  <c r="H21" i="1"/>
  <c r="B21" i="1"/>
  <c r="C29" i="1"/>
  <c r="B31" i="1" s="1" a="1"/>
  <c r="C17" i="1" l="1"/>
  <c r="C16" i="1" s="1"/>
  <c r="E21" i="1"/>
  <c r="C25" i="1"/>
  <c r="C21" i="1"/>
  <c r="G17" i="1"/>
  <c r="G16" i="1" s="1"/>
  <c r="F19" i="1"/>
  <c r="B27" i="1"/>
  <c r="D23" i="1"/>
  <c r="G25" i="1"/>
  <c r="D21" i="1"/>
  <c r="E19" i="1"/>
  <c r="B23" i="1"/>
  <c r="B19" i="1"/>
  <c r="B25" i="1"/>
  <c r="D25" i="1"/>
  <c r="B17" i="1"/>
  <c r="B16" i="1" s="1"/>
  <c r="D17" i="1"/>
  <c r="D16" i="1" s="1"/>
  <c r="C19" i="1"/>
  <c r="E25" i="1"/>
  <c r="H25" i="1"/>
  <c r="G21" i="1"/>
  <c r="E17" i="1"/>
  <c r="E16" i="1" s="1"/>
  <c r="H17" i="1"/>
  <c r="H16" i="1" s="1"/>
  <c r="F23" i="1"/>
  <c r="E23" i="1"/>
  <c r="H31" i="1"/>
  <c r="H30" i="1" s="1"/>
  <c r="D31" i="1"/>
  <c r="D30" i="1" s="1"/>
  <c r="G31" i="1"/>
  <c r="G30" i="1" s="1"/>
  <c r="C31" i="1"/>
  <c r="C30" i="1" s="1"/>
  <c r="E31" i="1"/>
  <c r="E30" i="1" s="1"/>
  <c r="B31" i="1"/>
  <c r="B30" i="1" s="1"/>
  <c r="F31" i="1"/>
  <c r="F30" i="1" s="1"/>
  <c r="B43" i="1"/>
  <c r="B33" i="1" a="1"/>
  <c r="B37" i="1" a="1"/>
  <c r="C43" i="1"/>
  <c r="B35" i="1" a="1"/>
  <c r="B39" i="1" a="1"/>
  <c r="B41" i="1" a="1"/>
  <c r="H39" i="1" l="1"/>
  <c r="D39" i="1"/>
  <c r="G39" i="1"/>
  <c r="C39" i="1"/>
  <c r="F39" i="1"/>
  <c r="E39" i="1"/>
  <c r="B39" i="1"/>
  <c r="H33" i="1"/>
  <c r="D33" i="1"/>
  <c r="G33" i="1"/>
  <c r="C33" i="1"/>
  <c r="E33" i="1"/>
  <c r="B33" i="1"/>
  <c r="F33" i="1"/>
  <c r="H35" i="1"/>
  <c r="D35" i="1"/>
  <c r="G35" i="1"/>
  <c r="C35" i="1"/>
  <c r="E35" i="1"/>
  <c r="B35" i="1"/>
  <c r="F35" i="1"/>
  <c r="C57" i="1"/>
  <c r="B53" i="1" a="1"/>
  <c r="B49" i="1" a="1"/>
  <c r="B57" i="1"/>
  <c r="B55" i="1" a="1"/>
  <c r="B51" i="1" a="1"/>
  <c r="B47" i="1" a="1"/>
  <c r="B45" i="1" a="1"/>
  <c r="C41" i="1"/>
  <c r="B41" i="1"/>
  <c r="H37" i="1"/>
  <c r="D37" i="1"/>
  <c r="G37" i="1"/>
  <c r="C37" i="1"/>
  <c r="E37" i="1"/>
  <c r="B37" i="1"/>
  <c r="F37" i="1"/>
  <c r="B69" i="1" l="1" a="1"/>
  <c r="B67" i="1" a="1"/>
  <c r="B65" i="1" a="1"/>
  <c r="B63" i="1" a="1"/>
  <c r="B59" i="1" a="1"/>
  <c r="C71" i="1"/>
  <c r="B71" i="1"/>
  <c r="B61" i="1" a="1"/>
  <c r="G47" i="1"/>
  <c r="C47" i="1"/>
  <c r="E47" i="1"/>
  <c r="D47" i="1"/>
  <c r="H47" i="1"/>
  <c r="F47" i="1"/>
  <c r="B47" i="1"/>
  <c r="G49" i="1"/>
  <c r="C49" i="1"/>
  <c r="H49" i="1"/>
  <c r="F49" i="1"/>
  <c r="B49" i="1"/>
  <c r="E49" i="1"/>
  <c r="D49" i="1"/>
  <c r="G51" i="1"/>
  <c r="C51" i="1"/>
  <c r="E51" i="1"/>
  <c r="D51" i="1"/>
  <c r="H51" i="1"/>
  <c r="F51" i="1"/>
  <c r="B51" i="1"/>
  <c r="G53" i="1"/>
  <c r="C53" i="1"/>
  <c r="H53" i="1"/>
  <c r="F53" i="1"/>
  <c r="B53" i="1"/>
  <c r="E53" i="1"/>
  <c r="D53" i="1"/>
  <c r="C55" i="1"/>
  <c r="B55" i="1"/>
  <c r="H45" i="1"/>
  <c r="H44" i="1" s="1"/>
  <c r="D45" i="1"/>
  <c r="D44" i="1" s="1"/>
  <c r="G45" i="1"/>
  <c r="G44" i="1" s="1"/>
  <c r="C45" i="1"/>
  <c r="C44" i="1" s="1"/>
  <c r="F45" i="1"/>
  <c r="F44" i="1" s="1"/>
  <c r="E45" i="1"/>
  <c r="E44" i="1" s="1"/>
  <c r="B45" i="1"/>
  <c r="B44" i="1" s="1"/>
  <c r="G59" i="1" l="1"/>
  <c r="G58" i="1" s="1"/>
  <c r="C59" i="1"/>
  <c r="C58" i="1" s="1"/>
  <c r="D59" i="1"/>
  <c r="D58" i="1" s="1"/>
  <c r="H59" i="1"/>
  <c r="H58" i="1" s="1"/>
  <c r="F59" i="1"/>
  <c r="F58" i="1" s="1"/>
  <c r="B59" i="1"/>
  <c r="B58" i="1" s="1"/>
  <c r="E59" i="1"/>
  <c r="E58" i="1" s="1"/>
  <c r="G61" i="1"/>
  <c r="C61" i="1"/>
  <c r="F61" i="1"/>
  <c r="B61" i="1"/>
  <c r="E61" i="1"/>
  <c r="D61" i="1"/>
  <c r="H61" i="1"/>
  <c r="G63" i="1"/>
  <c r="C63" i="1"/>
  <c r="D63" i="1"/>
  <c r="H63" i="1"/>
  <c r="F63" i="1"/>
  <c r="B63" i="1"/>
  <c r="E63" i="1"/>
  <c r="F65" i="1"/>
  <c r="G65" i="1"/>
  <c r="C65" i="1"/>
  <c r="B65" i="1"/>
  <c r="H65" i="1"/>
  <c r="E65" i="1"/>
  <c r="D65" i="1"/>
  <c r="B79" i="1" a="1"/>
  <c r="B77" i="1" a="1"/>
  <c r="B75" i="1" a="1"/>
  <c r="B73" i="1" a="1"/>
  <c r="B83" i="1" a="1"/>
  <c r="C85" i="1"/>
  <c r="B81" i="1" a="1"/>
  <c r="B85" i="1"/>
  <c r="F67" i="1"/>
  <c r="G67" i="1"/>
  <c r="C67" i="1"/>
  <c r="B67" i="1"/>
  <c r="H67" i="1"/>
  <c r="E67" i="1"/>
  <c r="D67" i="1"/>
  <c r="C69" i="1"/>
  <c r="B69" i="1"/>
  <c r="G79" i="1" l="1"/>
  <c r="F79" i="1"/>
  <c r="H79" i="1"/>
  <c r="C79" i="1"/>
  <c r="E79" i="1"/>
  <c r="D79" i="1"/>
  <c r="B79" i="1"/>
  <c r="B97" i="1" a="1"/>
  <c r="B93" i="1" a="1"/>
  <c r="B89" i="1" a="1"/>
  <c r="B99" i="1"/>
  <c r="B91" i="1" a="1"/>
  <c r="C99" i="1"/>
  <c r="B95" i="1" a="1"/>
  <c r="B87" i="1" a="1"/>
  <c r="F73" i="1"/>
  <c r="F72" i="1" s="1"/>
  <c r="G73" i="1"/>
  <c r="G72" i="1" s="1"/>
  <c r="C73" i="1"/>
  <c r="C72" i="1" s="1"/>
  <c r="E73" i="1"/>
  <c r="E72" i="1" s="1"/>
  <c r="D73" i="1"/>
  <c r="D72" i="1" s="1"/>
  <c r="B73" i="1"/>
  <c r="B72" i="1" s="1"/>
  <c r="H73" i="1"/>
  <c r="H72" i="1" s="1"/>
  <c r="F75" i="1"/>
  <c r="G75" i="1"/>
  <c r="C75" i="1"/>
  <c r="E75" i="1"/>
  <c r="D75" i="1"/>
  <c r="B75" i="1"/>
  <c r="H75" i="1"/>
  <c r="G81" i="1"/>
  <c r="C81" i="1"/>
  <c r="D81" i="1"/>
  <c r="E81" i="1"/>
  <c r="H81" i="1"/>
  <c r="F81" i="1"/>
  <c r="B81" i="1"/>
  <c r="F77" i="1"/>
  <c r="G77" i="1"/>
  <c r="C77" i="1"/>
  <c r="E77" i="1"/>
  <c r="D77" i="1"/>
  <c r="B77" i="1"/>
  <c r="H77" i="1"/>
  <c r="C83" i="1"/>
  <c r="B83" i="1"/>
  <c r="G91" i="1" l="1"/>
  <c r="C91" i="1"/>
  <c r="E91" i="1"/>
  <c r="F91" i="1"/>
  <c r="B91" i="1"/>
  <c r="D91" i="1"/>
  <c r="H91" i="1"/>
  <c r="C97" i="1"/>
  <c r="B97" i="1"/>
  <c r="B113" i="1"/>
  <c r="C113" i="1"/>
  <c r="B109" i="1" a="1"/>
  <c r="B105" i="1" a="1"/>
  <c r="B101" i="1" a="1"/>
  <c r="B111" i="1" a="1"/>
  <c r="B103" i="1" a="1"/>
  <c r="B107" i="1" a="1"/>
  <c r="G87" i="1"/>
  <c r="G86" i="1" s="1"/>
  <c r="C87" i="1"/>
  <c r="C86" i="1" s="1"/>
  <c r="E87" i="1"/>
  <c r="E86" i="1" s="1"/>
  <c r="F87" i="1"/>
  <c r="F86" i="1" s="1"/>
  <c r="B87" i="1"/>
  <c r="B86" i="1" s="1"/>
  <c r="H87" i="1"/>
  <c r="H86" i="1" s="1"/>
  <c r="D87" i="1"/>
  <c r="D86" i="1" s="1"/>
  <c r="G95" i="1"/>
  <c r="C95" i="1"/>
  <c r="E95" i="1"/>
  <c r="F95" i="1"/>
  <c r="B95" i="1"/>
  <c r="H95" i="1"/>
  <c r="D95" i="1"/>
  <c r="G89" i="1"/>
  <c r="C89" i="1"/>
  <c r="H89" i="1"/>
  <c r="D89" i="1"/>
  <c r="B89" i="1"/>
  <c r="F89" i="1"/>
  <c r="E89" i="1"/>
  <c r="G93" i="1"/>
  <c r="C93" i="1"/>
  <c r="H93" i="1"/>
  <c r="D93" i="1"/>
  <c r="F93" i="1"/>
  <c r="E93" i="1"/>
  <c r="B93" i="1"/>
  <c r="G107" i="1" l="1"/>
  <c r="C107" i="1"/>
  <c r="D107" i="1"/>
  <c r="E107" i="1"/>
  <c r="H107" i="1"/>
  <c r="F107" i="1"/>
  <c r="B107" i="1"/>
  <c r="G103" i="1"/>
  <c r="C103" i="1"/>
  <c r="D103" i="1"/>
  <c r="E103" i="1"/>
  <c r="B103" i="1"/>
  <c r="H103" i="1"/>
  <c r="F103" i="1"/>
  <c r="G109" i="1"/>
  <c r="C109" i="1"/>
  <c r="F109" i="1"/>
  <c r="B109" i="1"/>
  <c r="H109" i="1"/>
  <c r="E109" i="1"/>
  <c r="D109" i="1"/>
  <c r="C111" i="1"/>
  <c r="B111" i="1"/>
  <c r="G101" i="1"/>
  <c r="G100" i="1" s="1"/>
  <c r="C101" i="1"/>
  <c r="C100" i="1" s="1"/>
  <c r="F101" i="1"/>
  <c r="F100" i="1" s="1"/>
  <c r="B101" i="1"/>
  <c r="B100" i="1" s="1"/>
  <c r="H101" i="1"/>
  <c r="H100" i="1" s="1"/>
  <c r="E101" i="1"/>
  <c r="E100" i="1" s="1"/>
  <c r="D101" i="1"/>
  <c r="D100" i="1" s="1"/>
  <c r="C127" i="1"/>
  <c r="B123" i="1" a="1"/>
  <c r="B119" i="1" a="1"/>
  <c r="B115" i="1" a="1"/>
  <c r="B127" i="1"/>
  <c r="B125" i="1" a="1"/>
  <c r="B117" i="1" a="1"/>
  <c r="B121" i="1" a="1"/>
  <c r="G105" i="1"/>
  <c r="C105" i="1"/>
  <c r="F105" i="1"/>
  <c r="B105" i="1"/>
  <c r="H105" i="1"/>
  <c r="E105" i="1"/>
  <c r="D105" i="1"/>
  <c r="G119" i="1" l="1"/>
  <c r="C119" i="1"/>
  <c r="H119" i="1"/>
  <c r="D119" i="1"/>
  <c r="F119" i="1"/>
  <c r="E119" i="1"/>
  <c r="B119" i="1"/>
  <c r="C125" i="1"/>
  <c r="B125" i="1"/>
  <c r="G123" i="1"/>
  <c r="C123" i="1"/>
  <c r="H123" i="1"/>
  <c r="D123" i="1"/>
  <c r="B123" i="1"/>
  <c r="F123" i="1"/>
  <c r="E123" i="1"/>
  <c r="B139" i="1" a="1"/>
  <c r="B135" i="1" a="1"/>
  <c r="B131" i="1" a="1"/>
  <c r="C141" i="1"/>
  <c r="B137" i="1" a="1"/>
  <c r="B129" i="1" a="1"/>
  <c r="B141" i="1"/>
  <c r="B133" i="1" a="1"/>
  <c r="G121" i="1"/>
  <c r="C121" i="1"/>
  <c r="E121" i="1"/>
  <c r="F121" i="1"/>
  <c r="B121" i="1"/>
  <c r="H121" i="1"/>
  <c r="D121" i="1"/>
  <c r="G115" i="1"/>
  <c r="G114" i="1" s="1"/>
  <c r="C115" i="1"/>
  <c r="C114" i="1" s="1"/>
  <c r="H115" i="1"/>
  <c r="H114" i="1" s="1"/>
  <c r="D115" i="1"/>
  <c r="D114" i="1" s="1"/>
  <c r="B115" i="1"/>
  <c r="B114" i="1" s="1"/>
  <c r="F115" i="1"/>
  <c r="F114" i="1" s="1"/>
  <c r="E115" i="1"/>
  <c r="E114" i="1" s="1"/>
  <c r="G117" i="1"/>
  <c r="C117" i="1"/>
  <c r="E117" i="1"/>
  <c r="F117" i="1"/>
  <c r="B117" i="1"/>
  <c r="D117" i="1"/>
  <c r="H117" i="1"/>
  <c r="G137" i="1" l="1"/>
  <c r="C137" i="1"/>
  <c r="D137" i="1"/>
  <c r="E137" i="1"/>
  <c r="B137" i="1"/>
  <c r="H137" i="1"/>
  <c r="F137" i="1"/>
  <c r="G133" i="1"/>
  <c r="C133" i="1"/>
  <c r="D133" i="1"/>
  <c r="E133" i="1"/>
  <c r="H133" i="1"/>
  <c r="F133" i="1"/>
  <c r="B133" i="1"/>
  <c r="G131" i="1"/>
  <c r="C131" i="1"/>
  <c r="F131" i="1"/>
  <c r="B131" i="1"/>
  <c r="H131" i="1"/>
  <c r="E131" i="1"/>
  <c r="D131" i="1"/>
  <c r="B153" i="1" a="1"/>
  <c r="B149" i="1" a="1"/>
  <c r="B145" i="1" a="1"/>
  <c r="B151" i="1" a="1"/>
  <c r="B143" i="1" a="1"/>
  <c r="B147" i="1" a="1"/>
  <c r="G129" i="1"/>
  <c r="G128" i="1" s="1"/>
  <c r="C129" i="1"/>
  <c r="C128" i="1" s="1"/>
  <c r="D129" i="1"/>
  <c r="D128" i="1" s="1"/>
  <c r="E129" i="1"/>
  <c r="E128" i="1" s="1"/>
  <c r="B129" i="1"/>
  <c r="B128" i="1" s="1"/>
  <c r="H129" i="1"/>
  <c r="H128" i="1" s="1"/>
  <c r="F129" i="1"/>
  <c r="F128" i="1" s="1"/>
  <c r="G135" i="1"/>
  <c r="C135" i="1"/>
  <c r="F135" i="1"/>
  <c r="B135" i="1"/>
  <c r="H135" i="1"/>
  <c r="E135" i="1"/>
  <c r="D135" i="1"/>
  <c r="C139" i="1"/>
  <c r="B139" i="1"/>
  <c r="G147" i="1" l="1"/>
  <c r="C147" i="1"/>
  <c r="E147" i="1"/>
  <c r="F147" i="1"/>
  <c r="B147" i="1"/>
  <c r="H147" i="1"/>
  <c r="D147" i="1"/>
  <c r="G143" i="1"/>
  <c r="G142" i="1" s="1"/>
  <c r="C143" i="1"/>
  <c r="C142" i="1" s="1"/>
  <c r="E143" i="1"/>
  <c r="E142" i="1" s="1"/>
  <c r="F143" i="1"/>
  <c r="F142" i="1" s="1"/>
  <c r="B143" i="1"/>
  <c r="B142" i="1" s="1"/>
  <c r="D143" i="1"/>
  <c r="D142" i="1" s="1"/>
  <c r="H143" i="1"/>
  <c r="H142" i="1" s="1"/>
  <c r="C153" i="1"/>
  <c r="B153" i="1"/>
  <c r="G151" i="1"/>
  <c r="C151" i="1"/>
  <c r="E151" i="1"/>
  <c r="F151" i="1"/>
  <c r="B151" i="1"/>
  <c r="D151" i="1"/>
  <c r="H151" i="1"/>
  <c r="G145" i="1"/>
  <c r="C145" i="1"/>
  <c r="H145" i="1"/>
  <c r="D145" i="1"/>
  <c r="F145" i="1"/>
  <c r="E145" i="1"/>
  <c r="B145" i="1"/>
  <c r="G149" i="1"/>
  <c r="C149" i="1"/>
  <c r="H149" i="1"/>
  <c r="D149" i="1"/>
  <c r="B149" i="1"/>
  <c r="F149" i="1"/>
  <c r="E149" i="1"/>
</calcChain>
</file>

<file path=xl/sharedStrings.xml><?xml version="1.0" encoding="utf-8"?>
<sst xmlns="http://schemas.openxmlformats.org/spreadsheetml/2006/main" count="178" uniqueCount="134">
  <si>
    <t>fevereiro</t>
  </si>
  <si>
    <t>DOMINGO</t>
  </si>
  <si>
    <t>férias  marlon/ Miro / Ribas/ Adri / Ceccon</t>
  </si>
  <si>
    <t xml:space="preserve">férias  marlon/ Miro / Ribas/ Adri / Ceccon/ Alves- </t>
  </si>
  <si>
    <t>férias  marlon/ Miro / Ribas/ Adri / Ceccon/Alves</t>
  </si>
  <si>
    <t xml:space="preserve">Férias Alves/ Ceccon/Adri - </t>
  </si>
  <si>
    <r>
      <rPr>
        <b/>
        <sz val="11"/>
        <color rgb="FFFF0000"/>
        <rFont val="Arial"/>
      </rPr>
      <t xml:space="preserve">PE CICLO 03 - </t>
    </r>
    <r>
      <rPr>
        <b/>
        <sz val="11"/>
        <color theme="1"/>
        <rFont val="Arial"/>
      </rPr>
      <t>Consulta mae Jose</t>
    </r>
    <r>
      <rPr>
        <b/>
        <sz val="11"/>
        <color rgb="FFFF0000"/>
        <rFont val="Arial"/>
      </rPr>
      <t xml:space="preserve">   -</t>
    </r>
    <r>
      <rPr>
        <sz val="11"/>
        <color theme="1"/>
        <rFont val="Arial"/>
      </rPr>
      <t>Férias Adri Alves/Ceccon</t>
    </r>
    <r>
      <rPr>
        <b/>
        <sz val="11"/>
        <color theme="1"/>
        <rFont val="Arial"/>
      </rPr>
      <t xml:space="preserve"> -elaborar oficio urbanismo e rubia - ok</t>
    </r>
  </si>
  <si>
    <r>
      <rPr>
        <b/>
        <sz val="11"/>
        <color rgb="FFFF0000"/>
        <rFont val="Arial"/>
      </rPr>
      <t>PE CICLO 03 -</t>
    </r>
    <r>
      <rPr>
        <b/>
        <sz val="11"/>
        <color theme="1"/>
        <rFont val="Arial"/>
      </rPr>
      <t xml:space="preserve">Férias Alves/Ceccon/ </t>
    </r>
    <r>
      <rPr>
        <sz val="11"/>
        <color theme="1"/>
        <rFont val="Arial"/>
      </rPr>
      <t>Adri</t>
    </r>
    <r>
      <rPr>
        <b/>
        <sz val="11"/>
        <color rgb="FFFF0000"/>
        <rFont val="Arial"/>
      </rPr>
      <t xml:space="preserve">-  </t>
    </r>
    <r>
      <rPr>
        <b/>
        <sz val="11"/>
        <color theme="1"/>
        <rFont val="Arial"/>
      </rPr>
      <t>dentista Jose</t>
    </r>
    <r>
      <rPr>
        <b/>
        <sz val="11"/>
        <color rgb="FFFF0000"/>
        <rFont val="Arial"/>
      </rPr>
      <t>- Marlon não veio deve este dia</t>
    </r>
  </si>
  <si>
    <r>
      <rPr>
        <sz val="11"/>
        <color theme="1"/>
        <rFont val="Arial"/>
      </rPr>
      <t xml:space="preserve">Férias Alves / Bia/Ceccon </t>
    </r>
    <r>
      <rPr>
        <sz val="11"/>
        <color rgb="FF7030A0"/>
        <rFont val="Arial"/>
      </rPr>
      <t>Volta Luci pagar 5 dias</t>
    </r>
  </si>
  <si>
    <t>Férias Alves / Bia/Ceccon - mandar ouvidoria/ mandar numero protocolo 156</t>
  </si>
  <si>
    <t>Férias Alves / Bia/Ceccon - reuniao 09:00 Nanci</t>
  </si>
  <si>
    <t>Férias Alves / Bia/Ceccon/dentista jose</t>
  </si>
  <si>
    <r>
      <rPr>
        <sz val="11"/>
        <color theme="1"/>
        <rFont val="Arial"/>
      </rPr>
      <t xml:space="preserve">Férias Alves / Bia / </t>
    </r>
    <r>
      <rPr>
        <b/>
        <sz val="11"/>
        <color rgb="FF7030A0"/>
        <rFont val="Arial"/>
      </rPr>
      <t>Ceccon Volta pagar 1 dia</t>
    </r>
  </si>
  <si>
    <t>CARNAVAL -</t>
  </si>
  <si>
    <t>CARNAVAL-</t>
  </si>
  <si>
    <t>Férias Fernando/ Bia</t>
  </si>
  <si>
    <r>
      <rPr>
        <b/>
        <sz val="11"/>
        <color rgb="FFFF0000"/>
        <rFont val="Arial"/>
      </rPr>
      <t xml:space="preserve">PE CICLO 04 </t>
    </r>
    <r>
      <rPr>
        <b/>
        <sz val="11"/>
        <color theme="1"/>
        <rFont val="Arial"/>
      </rPr>
      <t>-</t>
    </r>
    <r>
      <rPr>
        <sz val="11"/>
        <color theme="1"/>
        <rFont val="Arial"/>
      </rPr>
      <t>Férias Fernando/ Bia</t>
    </r>
    <r>
      <rPr>
        <b/>
        <sz val="11"/>
        <color rgb="FFFF0000"/>
        <rFont val="Arial"/>
      </rPr>
      <t xml:space="preserve"> - dentista jose</t>
    </r>
  </si>
  <si>
    <r>
      <rPr>
        <b/>
        <sz val="11"/>
        <color rgb="FFFF0000"/>
        <rFont val="Arial"/>
      </rPr>
      <t xml:space="preserve">PE CICLO 04- </t>
    </r>
    <r>
      <rPr>
        <sz val="11"/>
        <color theme="1"/>
        <rFont val="Arial"/>
      </rPr>
      <t>Reunião coordenadores _Edson Dalk</t>
    </r>
    <r>
      <rPr>
        <sz val="11"/>
        <color rgb="FFFF0000"/>
        <rFont val="Arial"/>
      </rPr>
      <t xml:space="preserve"> -</t>
    </r>
    <r>
      <rPr>
        <sz val="11"/>
        <color theme="1"/>
        <rFont val="Arial"/>
      </rPr>
      <t>Férias Fernando/ Bia</t>
    </r>
  </si>
  <si>
    <r>
      <rPr>
        <sz val="11"/>
        <color theme="1"/>
        <rFont val="Arial"/>
      </rPr>
      <t xml:space="preserve">Férias Fernando/ Bia - visita rua Luiz Bugalski 275 ( triatomíneo “barbeiro" Fabiano Dobbins) - </t>
    </r>
    <r>
      <rPr>
        <b/>
        <sz val="11"/>
        <color theme="1"/>
        <rFont val="Arial"/>
      </rPr>
      <t>REUNIAO COMITE</t>
    </r>
  </si>
  <si>
    <r>
      <rPr>
        <sz val="11"/>
        <color theme="1"/>
        <rFont val="Arial"/>
      </rPr>
      <t xml:space="preserve">Férias Fernando/ Bia - </t>
    </r>
    <r>
      <rPr>
        <sz val="11"/>
        <color rgb="FFFF0000"/>
        <rFont val="Arial"/>
      </rPr>
      <t>consuta mae Jose tarde</t>
    </r>
    <r>
      <rPr>
        <sz val="11"/>
        <color theme="1"/>
        <rFont val="Arial"/>
      </rPr>
      <t xml:space="preserve"> - PALESTRA ESCOLA MUNICIPAL LOURENÇO ÂNGELO BUZATO 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capacitação ieda-</t>
    </r>
  </si>
  <si>
    <r>
      <rPr>
        <sz val="11"/>
        <color theme="1"/>
        <rFont val="Arial"/>
      </rPr>
      <t>Férias Fernando/ Bia- c</t>
    </r>
    <r>
      <rPr>
        <b/>
        <sz val="11"/>
        <color theme="1"/>
        <rFont val="Arial"/>
      </rPr>
      <t xml:space="preserve">mei castelo dos sonhos( palestra com Suzan 14:15 - </t>
    </r>
  </si>
  <si>
    <t>Férias Fernando/ Bia /REUNIÃO EQUIPE</t>
  </si>
  <si>
    <t>Anotações:</t>
  </si>
  <si>
    <t xml:space="preserve">1-Férias Fernando/ Bia - Azimir </t>
  </si>
  <si>
    <t>1-Férias Fernando/ Bia - Azimir</t>
  </si>
  <si>
    <r>
      <rPr>
        <u/>
        <sz val="11"/>
        <color theme="1"/>
        <rFont val="Arial"/>
      </rPr>
      <t>1-Férias Fernando/ Bia - Azimir /Bia - volta  pagar 5 dias</t>
    </r>
    <r>
      <rPr>
        <sz val="11"/>
        <color theme="1"/>
        <rFont val="Arial"/>
      </rPr>
      <t>/                                       2-consulta mae Jose Tarde.</t>
    </r>
  </si>
  <si>
    <r>
      <rPr>
        <b/>
        <sz val="11"/>
        <color rgb="FFFF0000"/>
        <rFont val="Arial"/>
      </rPr>
      <t xml:space="preserve">1- PE CICLO 05 </t>
    </r>
    <r>
      <rPr>
        <sz val="11"/>
        <color theme="1"/>
        <rFont val="Arial"/>
      </rPr>
      <t>/            2-</t>
    </r>
    <r>
      <rPr>
        <u/>
        <sz val="11"/>
        <color theme="1"/>
        <rFont val="Arial"/>
      </rPr>
      <t xml:space="preserve">Férias </t>
    </r>
    <r>
      <rPr>
        <b/>
        <u/>
        <sz val="11"/>
        <color theme="1"/>
        <rFont val="Arial"/>
      </rPr>
      <t xml:space="preserve"> </t>
    </r>
    <r>
      <rPr>
        <u/>
        <sz val="11"/>
        <color theme="1"/>
        <rFont val="Arial"/>
      </rPr>
      <t>Azimir</t>
    </r>
    <r>
      <rPr>
        <b/>
        <u/>
        <sz val="11"/>
        <color theme="1"/>
        <rFont val="Arial"/>
      </rPr>
      <t>/</t>
    </r>
    <r>
      <rPr>
        <sz val="11"/>
        <color theme="1"/>
        <rFont val="Arial"/>
      </rPr>
      <t xml:space="preserve"> </t>
    </r>
    <r>
      <rPr>
        <b/>
        <sz val="11"/>
        <color rgb="FFFF0000"/>
        <rFont val="Arial"/>
      </rPr>
      <t xml:space="preserve">        </t>
    </r>
    <r>
      <rPr>
        <sz val="11"/>
        <color theme="1"/>
        <rFont val="Arial"/>
      </rPr>
      <t>3-consulta mae Jose Tarde.</t>
    </r>
  </si>
  <si>
    <r>
      <rPr>
        <b/>
        <sz val="11"/>
        <color rgb="FFFF0000"/>
        <rFont val="Arial"/>
      </rPr>
      <t xml:space="preserve">1- PE CICLO 05 </t>
    </r>
    <r>
      <rPr>
        <sz val="11"/>
        <color theme="1"/>
        <rFont val="Arial"/>
      </rPr>
      <t xml:space="preserve">/   2- </t>
    </r>
    <r>
      <rPr>
        <u/>
        <sz val="11"/>
        <color theme="1"/>
        <rFont val="Arial"/>
      </rPr>
      <t>Férias  Azimir</t>
    </r>
  </si>
  <si>
    <r>
      <rPr>
        <u/>
        <sz val="11"/>
        <color theme="1"/>
        <rFont val="Arial"/>
      </rPr>
      <t>1- Férias Azimir -</t>
    </r>
    <r>
      <rPr>
        <sz val="11"/>
        <color theme="1"/>
        <rFont val="Arial"/>
      </rPr>
      <t xml:space="preserve"> 2- Notificasção Sr. Arnaldo -Lamenha</t>
    </r>
  </si>
  <si>
    <r>
      <rPr>
        <u/>
        <sz val="11"/>
        <color theme="1"/>
        <rFont val="Arial"/>
      </rPr>
      <t xml:space="preserve">1- Férias  Azimir </t>
    </r>
    <r>
      <rPr>
        <sz val="11"/>
        <color theme="1"/>
        <rFont val="Arial"/>
      </rPr>
      <t xml:space="preserve">
</t>
    </r>
    <r>
      <rPr>
        <b/>
        <sz val="11"/>
        <color rgb="FF5A8431"/>
        <rFont val="Arial"/>
      </rPr>
      <t xml:space="preserve">2- </t>
    </r>
    <r>
      <rPr>
        <sz val="11"/>
        <color theme="1"/>
        <rFont val="Arial"/>
      </rPr>
      <t>consulta mae Jose Tarde</t>
    </r>
    <r>
      <rPr>
        <b/>
        <sz val="11"/>
        <color rgb="FF00B050"/>
        <rFont val="Arial"/>
      </rPr>
      <t>.</t>
    </r>
    <r>
      <rPr>
        <sz val="11"/>
        <color rgb="FF00B050"/>
        <rFont val="Arial"/>
      </rPr>
      <t xml:space="preserve">                          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</si>
  <si>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>1-Férias  Azimir</t>
    </r>
    <r>
      <rPr>
        <sz val="11"/>
        <color theme="1"/>
        <rFont val="Arial"/>
      </rPr>
      <t xml:space="preserve">
</t>
    </r>
    <r>
      <rPr>
        <b/>
        <sz val="12"/>
        <color rgb="FF7030A0"/>
        <rFont val="Arial"/>
      </rPr>
      <t xml:space="preserve"> ++ ver calendario Dengosa Escola</t>
    </r>
  </si>
  <si>
    <r>
      <rPr>
        <u/>
        <sz val="11"/>
        <color theme="1"/>
        <rFont val="Arial"/>
      </rPr>
      <t>1-Férias  Azimir -</t>
    </r>
    <r>
      <rPr>
        <u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2-</t>
    </r>
    <r>
      <rPr>
        <b/>
        <sz val="11"/>
        <color theme="1"/>
        <rFont val="Arial"/>
      </rPr>
      <t>territorialização Edson Dalk- 08:00 as 12:00 e 13:00 as 17:00</t>
    </r>
    <r>
      <rPr>
        <b/>
        <sz val="10"/>
        <color rgb="FFCC5D0A"/>
        <rFont val="Arial"/>
      </rPr>
      <t xml:space="preserve">
</t>
    </r>
    <r>
      <rPr>
        <b/>
        <sz val="10"/>
        <color rgb="FF5A8431"/>
        <rFont val="Arial"/>
      </rPr>
      <t xml:space="preserve">
</t>
    </r>
    <r>
      <rPr>
        <b/>
        <sz val="11"/>
        <color theme="1"/>
        <rFont val="Arial"/>
      </rPr>
      <t>3-Centro Convivência Estrelar: Manhã 09:20 / tarde 14:30   ambos 30 crianças 06 a 14 anos</t>
    </r>
  </si>
  <si>
    <r>
      <rPr>
        <u/>
        <sz val="11"/>
        <color theme="1"/>
        <rFont val="Arial"/>
      </rPr>
      <t>1-Férias  Azimir -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2- Capacitação 08:00 no cic sanepar (VANESSA) -</t>
    </r>
    <r>
      <rPr>
        <sz val="11"/>
        <color theme="1"/>
        <rFont val="Arial"/>
      </rPr>
      <t xml:space="preserve"> 
</t>
    </r>
    <r>
      <rPr>
        <b/>
        <sz val="12"/>
        <color theme="1"/>
        <rFont val="Arial"/>
      </rPr>
      <t xml:space="preserve">  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</si>
  <si>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 xml:space="preserve">1-Férias  Azimir / Jose </t>
    </r>
    <r>
      <rPr>
        <sz val="11"/>
        <color theme="1"/>
        <rFont val="Arial"/>
      </rPr>
      <t xml:space="preserve">-                     </t>
    </r>
    <r>
      <rPr>
        <b/>
        <sz val="11"/>
        <color theme="1"/>
        <rFont val="Arial"/>
      </rPr>
      <t xml:space="preserve">2-reuniao meta 25 PEVASPEA- 14:00 </t>
    </r>
    <r>
      <rPr>
        <b/>
        <sz val="12"/>
        <color theme="1"/>
        <rFont val="Arial"/>
      </rPr>
      <t xml:space="preserve">-             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</si>
  <si>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 xml:space="preserve">1-Férias  Azimir / Jose -  </t>
    </r>
    <r>
      <rPr>
        <sz val="11"/>
        <color theme="1"/>
        <rFont val="Arial"/>
      </rPr>
      <t xml:space="preserve">                       </t>
    </r>
    <r>
      <rPr>
        <b/>
        <sz val="12"/>
        <color rgb="FF7030A0"/>
        <rFont val="Arial"/>
      </rPr>
      <t>++ ver calendario Dengosa Escola</t>
    </r>
    <r>
      <rPr>
        <sz val="12"/>
        <color theme="1"/>
        <rFont val="Arial"/>
      </rPr>
      <t xml:space="preserve"> </t>
    </r>
  </si>
  <si>
    <r>
      <rPr>
        <u/>
        <sz val="11"/>
        <color theme="1"/>
        <rFont val="Arial"/>
      </rPr>
      <t xml:space="preserve">1- Férias  Azimir / Jose </t>
    </r>
    <r>
      <rPr>
        <sz val="11"/>
        <color theme="1"/>
        <rFont val="Arial"/>
      </rPr>
      <t xml:space="preserve">-
</t>
    </r>
    <r>
      <rPr>
        <b/>
        <sz val="12"/>
        <color rgb="FF7030A0"/>
        <rFont val="Arial"/>
      </rPr>
      <t>++ ver calendario Dengosa Escola</t>
    </r>
    <r>
      <rPr>
        <sz val="11"/>
        <color rgb="FF7030A0"/>
        <rFont val="Arial"/>
      </rPr>
      <t xml:space="preserve"> </t>
    </r>
  </si>
  <si>
    <r>
      <rPr>
        <b/>
        <sz val="11"/>
        <color rgb="FFFF0000"/>
        <rFont val="Arial"/>
      </rPr>
      <t xml:space="preserve">1-PE CICLO 06 -        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2</t>
    </r>
    <r>
      <rPr>
        <b/>
        <sz val="11"/>
        <color theme="1"/>
        <rFont val="Arial"/>
      </rPr>
      <t>-</t>
    </r>
    <r>
      <rPr>
        <u/>
        <sz val="11"/>
        <color theme="1"/>
        <rFont val="Arial"/>
      </rPr>
      <t>Férias  Azimir / Jose</t>
    </r>
    <r>
      <rPr>
        <b/>
        <sz val="11"/>
        <color rgb="FFFF0000"/>
        <rFont val="Arial"/>
      </rPr>
      <t xml:space="preserve"> </t>
    </r>
    <r>
      <rPr>
        <b/>
        <sz val="11"/>
        <color rgb="FF7030A0"/>
        <rFont val="Arial"/>
      </rPr>
      <t xml:space="preserve">- </t>
    </r>
    <r>
      <rPr>
        <b/>
        <sz val="12"/>
        <color rgb="FF7030A0"/>
        <rFont val="Arial"/>
      </rPr>
      <t>++</t>
    </r>
    <r>
      <rPr>
        <b/>
        <sz val="12"/>
        <color rgb="FFFF0000"/>
        <rFont val="Arial"/>
      </rPr>
      <t xml:space="preserve"> </t>
    </r>
    <r>
      <rPr>
        <b/>
        <sz val="12"/>
        <color rgb="FF7030A0"/>
        <rFont val="Arial"/>
      </rPr>
      <t>ver calendario Dengosa Escola</t>
    </r>
    <r>
      <rPr>
        <b/>
        <sz val="12"/>
        <color rgb="FFFF0000"/>
        <rFont val="Arial"/>
      </rPr>
      <t xml:space="preserve"> </t>
    </r>
  </si>
  <si>
    <r>
      <rPr>
        <b/>
        <sz val="11"/>
        <color rgb="FFFF0000"/>
        <rFont val="Arial"/>
      </rPr>
      <t xml:space="preserve">1-PE CICLO 06          </t>
    </r>
    <r>
      <rPr>
        <sz val="11"/>
        <color theme="1"/>
        <rFont val="Arial"/>
      </rPr>
      <t>2</t>
    </r>
    <r>
      <rPr>
        <sz val="11"/>
        <color rgb="FFFF0000"/>
        <rFont val="Arial"/>
      </rPr>
      <t>-</t>
    </r>
    <r>
      <rPr>
        <u/>
        <sz val="11"/>
        <color theme="1"/>
        <rFont val="Arial"/>
      </rPr>
      <t xml:space="preserve">Férias Azimir/ Jose </t>
    </r>
    <r>
      <rPr>
        <b/>
        <sz val="11"/>
        <color rgb="FFFF0000"/>
        <rFont val="Arial"/>
      </rPr>
      <t xml:space="preserve">-                          </t>
    </r>
    <r>
      <rPr>
        <b/>
        <sz val="11"/>
        <color theme="1"/>
        <rFont val="Arial"/>
      </rPr>
      <t>3</t>
    </r>
    <r>
      <rPr>
        <b/>
        <sz val="11"/>
        <color rgb="FFFF0000"/>
        <rFont val="Arial"/>
      </rPr>
      <t>-</t>
    </r>
    <r>
      <rPr>
        <b/>
        <sz val="11"/>
        <color theme="1"/>
        <rFont val="Arial"/>
      </rPr>
      <t>Reunião coordenadores _Edson Dalk</t>
    </r>
    <r>
      <rPr>
        <b/>
        <sz val="11"/>
        <color rgb="FFFF0000"/>
        <rFont val="Arial"/>
      </rPr>
      <t xml:space="preserve"> </t>
    </r>
    <r>
      <rPr>
        <b/>
        <sz val="11"/>
        <color rgb="FFFF0000"/>
        <rFont val="Arial"/>
      </rPr>
      <t xml:space="preserve">
</t>
    </r>
    <r>
      <rPr>
        <b/>
        <sz val="12"/>
        <color rgb="FF7030A0"/>
        <rFont val="Arial"/>
      </rPr>
      <t xml:space="preserve">++ ver calendario Dengosa Escola </t>
    </r>
    <r>
      <rPr>
        <b/>
        <sz val="11"/>
        <color rgb="FF7030A0"/>
        <rFont val="Arial"/>
      </rPr>
      <t xml:space="preserve">
</t>
    </r>
  </si>
  <si>
    <r>
      <rPr>
        <u/>
        <sz val="11"/>
        <color theme="1"/>
        <rFont val="Arial"/>
      </rPr>
      <t xml:space="preserve">1-Férias  </t>
    </r>
    <r>
      <rPr>
        <u/>
        <sz val="11"/>
        <color theme="1"/>
        <rFont val="Arial"/>
      </rPr>
      <t>Azimir / Jose</t>
    </r>
    <r>
      <rPr>
        <sz val="11"/>
        <color theme="1"/>
        <rFont val="Arial"/>
      </rPr>
      <t xml:space="preserve"> - 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</si>
  <si>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 xml:space="preserve">1-Férias  Azimir / Jose </t>
    </r>
    <r>
      <rPr>
        <sz val="11"/>
        <color theme="1"/>
        <rFont val="Arial"/>
      </rPr>
      <t xml:space="preserve">
</t>
    </r>
    <r>
      <rPr>
        <b/>
        <sz val="11"/>
        <color theme="1"/>
        <rFont val="Arial"/>
      </rPr>
      <t xml:space="preserve">2-EVENTO SAÚDE EM MOVIMENTO (VANESSA) - MANHÃ
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</si>
  <si>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 xml:space="preserve">1-Férias  Azimir / Jose </t>
    </r>
    <r>
      <rPr>
        <sz val="11"/>
        <color theme="1"/>
        <rFont val="Arial"/>
      </rPr>
      <t xml:space="preserve">
</t>
    </r>
    <r>
      <rPr>
        <b/>
        <sz val="11"/>
        <color theme="1"/>
        <rFont val="Arial"/>
      </rPr>
      <t>2-EVENTO SAÚDE EM MOVIMENTO (VANESSA)</t>
    </r>
    <r>
      <rPr>
        <sz val="11"/>
        <color theme="1"/>
        <rFont val="Arial"/>
      </rPr>
      <t xml:space="preserve"> - </t>
    </r>
    <r>
      <rPr>
        <b/>
        <sz val="11"/>
        <color theme="1"/>
        <rFont val="Arial"/>
      </rPr>
      <t>MANHÃ</t>
    </r>
    <r>
      <rPr>
        <sz val="11"/>
        <color theme="1"/>
        <rFont val="Arial"/>
      </rPr>
      <t xml:space="preserve">                 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</si>
  <si>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 xml:space="preserve">1-Férias  Azimir / Jose </t>
    </r>
    <r>
      <rPr>
        <b/>
        <sz val="11"/>
        <color theme="1"/>
        <rFont val="Arial"/>
      </rPr>
      <t xml:space="preserve">
2-EVENTO SAÚDE EM MOVIMENTO (VANESSA) -</t>
    </r>
    <r>
      <rPr>
        <b/>
        <sz val="12"/>
        <color theme="1"/>
        <rFont val="Arial"/>
      </rPr>
      <t xml:space="preserve"> </t>
    </r>
    <r>
      <rPr>
        <b/>
        <sz val="11"/>
        <color theme="1"/>
        <rFont val="Arial"/>
      </rPr>
      <t xml:space="preserve">MANHÃ   </t>
    </r>
    <r>
      <rPr>
        <b/>
        <sz val="12"/>
        <color theme="1"/>
        <rFont val="Arial"/>
      </rPr>
      <t xml:space="preserve">              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</si>
  <si>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>1-Férias  Azimir / Jose</t>
    </r>
    <r>
      <rPr>
        <b/>
        <sz val="11"/>
        <color theme="1"/>
        <rFont val="Arial"/>
      </rPr>
      <t xml:space="preserve">                -           2-reuniao equipe endemias                </t>
    </r>
    <r>
      <rPr>
        <b/>
        <sz val="12"/>
        <color rgb="FF7030A0"/>
        <rFont val="Arial"/>
      </rPr>
      <t xml:space="preserve"> ++ ver calendario Dengosa Escola </t>
    </r>
  </si>
  <si>
    <r>
      <rPr>
        <u/>
        <sz val="11"/>
        <color theme="1"/>
        <rFont val="Arial"/>
      </rPr>
      <t>1-Férias  Azimir / Jose</t>
    </r>
    <r>
      <rPr>
        <sz val="11"/>
        <color theme="1"/>
        <rFont val="Arial"/>
      </rPr>
      <t xml:space="preserve"> </t>
    </r>
    <r>
      <rPr>
        <sz val="11"/>
        <color rgb="FF7030A0"/>
        <rFont val="Arial"/>
      </rPr>
      <t xml:space="preserve">-                    </t>
    </r>
    <r>
      <rPr>
        <b/>
        <sz val="12"/>
        <color rgb="FF7030A0"/>
        <rFont val="Arial"/>
      </rPr>
      <t>++ ver calendario Dengosa Escola</t>
    </r>
  </si>
  <si>
    <r>
      <rPr>
        <u/>
        <sz val="11"/>
        <color theme="1"/>
        <rFont val="Arial"/>
      </rPr>
      <t xml:space="preserve">1- Férias  Azimir </t>
    </r>
    <r>
      <rPr>
        <sz val="11"/>
        <color theme="1"/>
        <rFont val="Arial"/>
      </rPr>
      <t xml:space="preserve">                           </t>
    </r>
    <r>
      <rPr>
        <b/>
        <sz val="12"/>
        <color rgb="FF7030A0"/>
        <rFont val="Arial"/>
      </rPr>
      <t>++ ver calendario Dengosa Escola</t>
    </r>
  </si>
  <si>
    <r>
      <rPr>
        <b/>
        <sz val="11"/>
        <color rgb="FFFF0000"/>
        <rFont val="Arial"/>
      </rPr>
      <t xml:space="preserve">1-PE CICLO 07 -         </t>
    </r>
    <r>
      <rPr>
        <b/>
        <sz val="11"/>
        <color theme="1"/>
        <rFont val="Arial"/>
      </rPr>
      <t>2</t>
    </r>
    <r>
      <rPr>
        <b/>
        <sz val="11"/>
        <color rgb="FFFF0000"/>
        <rFont val="Arial"/>
      </rPr>
      <t>-</t>
    </r>
    <r>
      <rPr>
        <b/>
        <sz val="11"/>
        <color theme="1"/>
        <rFont val="Arial"/>
      </rPr>
      <t>reunião o 2ª regional Parque anibal kuri (VANESSA)</t>
    </r>
    <r>
      <rPr>
        <b/>
        <sz val="11"/>
        <color rgb="FFFF0000"/>
        <rFont val="Arial"/>
      </rPr>
      <t xml:space="preserve"> </t>
    </r>
    <r>
      <rPr>
        <b/>
        <sz val="11"/>
        <color theme="1"/>
        <rFont val="Arial"/>
      </rPr>
      <t>- dia todo</t>
    </r>
    <r>
      <rPr>
        <b/>
        <sz val="11"/>
        <color rgb="FFFF0000"/>
        <rFont val="Arial"/>
      </rPr>
      <t xml:space="preserve">                     </t>
    </r>
    <r>
      <rPr>
        <b/>
        <sz val="11"/>
        <color rgb="FFFF0000"/>
        <rFont val="Arial"/>
      </rPr>
      <t xml:space="preserve"> </t>
    </r>
    <r>
      <rPr>
        <b/>
        <sz val="11"/>
        <color rgb="FF7030A0"/>
        <rFont val="Arial"/>
      </rPr>
      <t>9h/14 - Cmei Joaquim  - 10h30/ 15:30 - Mirta</t>
    </r>
  </si>
  <si>
    <r>
      <rPr>
        <b/>
        <sz val="11"/>
        <color rgb="FFFF0000"/>
        <rFont val="Arial"/>
      </rPr>
      <t xml:space="preserve">1-PE CICLO 07 </t>
    </r>
    <r>
      <rPr>
        <b/>
        <sz val="11"/>
        <color rgb="FF7030A0"/>
        <rFont val="Arial"/>
      </rPr>
      <t xml:space="preserve">- </t>
    </r>
    <r>
      <rPr>
        <b/>
        <sz val="12"/>
        <color rgb="FF7030A0"/>
        <rFont val="Arial"/>
      </rPr>
      <t xml:space="preserve">       </t>
    </r>
  </si>
  <si>
    <t>FERIADO</t>
  </si>
  <si>
    <r>
      <rPr>
        <sz val="11"/>
        <color theme="1"/>
        <rFont val="Arial"/>
      </rPr>
      <t xml:space="preserve"> </t>
    </r>
    <r>
      <rPr>
        <b/>
        <sz val="12"/>
        <color rgb="FF7030A0"/>
        <rFont val="Arial"/>
      </rPr>
      <t xml:space="preserve"> </t>
    </r>
    <r>
      <rPr>
        <b/>
        <sz val="12"/>
        <color rgb="FFFF0000"/>
        <rFont val="Arial"/>
      </rPr>
      <t>consulta mae jose tarde</t>
    </r>
    <r>
      <rPr>
        <sz val="11"/>
        <color theme="1"/>
        <rFont val="Arial"/>
      </rPr>
      <t xml:space="preserve"> -</t>
    </r>
  </si>
  <si>
    <t>verificar que são os acs (referências) com a Vanessa para enviar mensagagem busca ativa</t>
  </si>
  <si>
    <t xml:space="preserve">9h/14 - Angela Misga - 10:30/ 15:30 Cmei Pequeno Príncipe </t>
  </si>
  <si>
    <r>
      <rPr>
        <b/>
        <sz val="11"/>
        <color rgb="FF7030A0"/>
        <rFont val="Arial"/>
      </rPr>
      <t xml:space="preserve"> </t>
    </r>
    <r>
      <rPr>
        <b/>
        <sz val="12"/>
        <color rgb="FFFF0000"/>
        <rFont val="Arial"/>
      </rPr>
      <t>consulta mae jose tarde</t>
    </r>
  </si>
  <si>
    <r>
      <rPr>
        <b/>
        <sz val="12"/>
        <color rgb="FF7030A0"/>
        <rFont val="Arial"/>
      </rPr>
      <t xml:space="preserve"> </t>
    </r>
    <r>
      <rPr>
        <b/>
        <sz val="12"/>
        <color rgb="FFFF0000"/>
        <rFont val="Arial"/>
      </rPr>
      <t>consulta mae jose tarde</t>
    </r>
  </si>
  <si>
    <r>
      <rPr>
        <b/>
        <sz val="12"/>
        <color rgb="FF7030A0"/>
        <rFont val="Arial"/>
      </rPr>
      <t xml:space="preserve"> </t>
    </r>
    <r>
      <rPr>
        <b/>
        <sz val="12"/>
        <color rgb="FFFF0000"/>
        <rFont val="Arial"/>
      </rPr>
      <t>consulta jose tarde</t>
    </r>
  </si>
  <si>
    <t>Capacitação coleta de água - Agrotóxico VSPEA
Quarta-feira, 15 de abril · 2:00 – 3:00pm
Fuso horário: America/Sao_Paulo
Como participar do Google: Meet
Link da videochamada: https://meet.google.com/yzy-ybmj-opf</t>
  </si>
  <si>
    <t xml:space="preserve">1-PE CICLO 08 - </t>
  </si>
  <si>
    <r>
      <rPr>
        <sz val="11"/>
        <color rgb="FFFF0000"/>
        <rFont val="Arial"/>
      </rPr>
      <t xml:space="preserve">1-PE CICLO 08           </t>
    </r>
    <r>
      <rPr>
        <b/>
        <sz val="11"/>
        <color theme="1"/>
        <rFont val="Arial"/>
      </rPr>
      <t>2</t>
    </r>
    <r>
      <rPr>
        <sz val="11"/>
        <color rgb="FFFF0000"/>
        <rFont val="Arial"/>
      </rPr>
      <t>-</t>
    </r>
    <r>
      <rPr>
        <b/>
        <sz val="11"/>
        <color theme="1"/>
        <rFont val="Arial"/>
      </rPr>
      <t>Reunião coordenadores _Edson Dalk</t>
    </r>
    <r>
      <rPr>
        <sz val="11"/>
        <color rgb="FFFF0000"/>
        <rFont val="Arial"/>
      </rPr>
      <t xml:space="preserve">           </t>
    </r>
  </si>
  <si>
    <t>RECESSO</t>
  </si>
  <si>
    <r>
      <rPr>
        <b/>
        <sz val="11"/>
        <color rgb="FF7030A0"/>
        <rFont val="Arial"/>
      </rPr>
      <t xml:space="preserve"> 9h/14 - Cmei Paraiso - 10h30/ 15:30 - Eurípedes
</t>
    </r>
    <r>
      <rPr>
        <b/>
        <sz val="11"/>
        <color rgb="FFFF0000"/>
        <rFont val="Arial"/>
      </rPr>
      <t>( achar nova data)- aguardando retorno zap</t>
    </r>
  </si>
  <si>
    <r>
      <rPr>
        <b/>
        <sz val="11"/>
        <color theme="1"/>
        <rFont val="Arial"/>
      </rPr>
      <t xml:space="preserve">VERIIFCAR CAO MORDEU VIVIANE- 98867-9733 - RUA PARANAGUA, 123 
♥  </t>
    </r>
    <r>
      <rPr>
        <b/>
        <sz val="11"/>
        <color rgb="FFFF0000"/>
        <rFont val="Arial"/>
      </rPr>
      <t xml:space="preserve">BUSCAR GESTANTES NO TANGUA E LAMENHA PARA ASSEMAT - </t>
    </r>
    <r>
      <rPr>
        <b/>
        <sz val="11"/>
        <color rgb="FF00FF00"/>
        <rFont val="Arial"/>
      </rPr>
      <t xml:space="preserve">consulta jose manha
e tarde </t>
    </r>
  </si>
  <si>
    <r>
      <rPr>
        <b/>
        <sz val="11"/>
        <color theme="1"/>
        <rFont val="Arial"/>
      </rPr>
      <t xml:space="preserve">1- reuniao equipe endemias-                     2-REUNIAO COMITE ON LINE -   </t>
    </r>
    <r>
      <rPr>
        <b/>
        <sz val="11"/>
        <color rgb="FFFF00FF"/>
        <rFont val="Arial"/>
      </rPr>
      <t>reuniao regional Michele pela manha</t>
    </r>
  </si>
  <si>
    <t>consulta jose tarde</t>
  </si>
  <si>
    <r>
      <rPr>
        <b/>
        <sz val="11"/>
        <color theme="1"/>
        <rFont val="Arial"/>
      </rPr>
      <t xml:space="preserve">1-Campo Magro </t>
    </r>
    <r>
      <rPr>
        <b/>
        <sz val="11"/>
        <color rgb="FFFF0000"/>
        <rFont val="Arial"/>
      </rPr>
      <t>-</t>
    </r>
  </si>
  <si>
    <t>1-Campo Magro -</t>
  </si>
  <si>
    <t>Receber Elisangela campo magro à tarde</t>
  </si>
  <si>
    <t>1-PE CICLO 09</t>
  </si>
  <si>
    <t xml:space="preserve"> 1-PE CICLO 09</t>
  </si>
  <si>
    <r>
      <rPr>
        <sz val="11"/>
        <color theme="1"/>
        <rFont val="Arial"/>
      </rPr>
      <t xml:space="preserve">visita Mchele dia todo -vistoria do canil da Leschimaniose- </t>
    </r>
    <r>
      <rPr>
        <sz val="11"/>
        <color rgb="FFFF0000"/>
        <rFont val="Arial"/>
      </rPr>
      <t xml:space="preserve">Oficina Comunitária do Plano Municipal de Redução de Riscos (PMRR)- terça-feira (05/05) às 16h na Unidade de Saúde São João Batista —Rua Zilda Barbosa, 141 – São João Batista. </t>
    </r>
  </si>
  <si>
    <t>9h - Criança Feliz - Rua Piraquara, 500, Jardim Gramado
Gestora: Camila - 98872-3307
Coordenadora: Vanessa 
10h30 - Luis Eduardo Cumin - Rua Antônio de Oliveira Cruz, 82,  São João Batista 
Gestora: Telma - 8861-5398
Coordenadora: Mariane
TARDE
14h - Criança Feliz 
15h30 - Luis Eduardo Cumin</t>
  </si>
  <si>
    <t xml:space="preserve">     MARIA HELENA NOVAMENTE</t>
  </si>
  <si>
    <r>
      <rPr>
        <sz val="11"/>
        <color rgb="FFFF0000"/>
        <rFont val="Arial"/>
      </rPr>
      <t xml:space="preserve">                IR CONASENS  -  </t>
    </r>
    <r>
      <rPr>
        <sz val="11"/>
        <color rgb="FF38761D"/>
        <rFont val="Arial"/>
      </rPr>
      <t>PINHAIS - MOSTRA BRASIL -DIA TODO</t>
    </r>
  </si>
  <si>
    <r>
      <rPr>
        <sz val="11"/>
        <color theme="1"/>
        <rFont val="Arial"/>
      </rPr>
      <t xml:space="preserve">- </t>
    </r>
    <r>
      <rPr>
        <b/>
        <sz val="11"/>
        <color rgb="FFFF0000"/>
        <rFont val="Arial"/>
      </rPr>
      <t xml:space="preserve">
</t>
    </r>
  </si>
  <si>
    <t>consulta mae Jose á tarde</t>
  </si>
  <si>
    <r>
      <rPr>
        <b/>
        <sz val="10"/>
        <color rgb="FF7030A0"/>
        <rFont val="Arial"/>
      </rPr>
      <t xml:space="preserve">9h e 15h30 CMEI Paraíso
Endereço: R. José Gavilike, 528 – Jardim Paraíso - </t>
    </r>
    <r>
      <rPr>
        <b/>
        <sz val="10"/>
        <color rgb="FF000000"/>
        <rFont val="Arial"/>
      </rPr>
      <t>Visita imóvel da Rua Rouxinol . 14:00 Sr. LEILA</t>
    </r>
  </si>
  <si>
    <r>
      <rPr>
        <b/>
        <sz val="11"/>
        <color theme="1"/>
        <rFont val="Arial"/>
      </rPr>
      <t xml:space="preserve">confirmado IEDA 15:00 lembrar ela- </t>
    </r>
    <r>
      <rPr>
        <b/>
        <sz val="11"/>
        <color rgb="FFFF0000"/>
        <rFont val="Arial"/>
      </rPr>
      <t>1-PE CICLO 10.</t>
    </r>
  </si>
  <si>
    <r>
      <rPr>
        <sz val="11"/>
        <color rgb="FFFF0000"/>
        <rFont val="Arial"/>
      </rPr>
      <t xml:space="preserve">  </t>
    </r>
    <r>
      <rPr>
        <sz val="11"/>
        <color rgb="FFFF9900"/>
        <rFont val="Arial"/>
      </rPr>
      <t xml:space="preserve">08:00 estagiarios enfermagem vem pegar material didatico e dengosa - </t>
    </r>
    <r>
      <rPr>
        <sz val="11"/>
        <color rgb="FFFF0000"/>
        <rFont val="Arial"/>
      </rPr>
      <t>1-PE CICLO 10.</t>
    </r>
  </si>
  <si>
    <t>exame mae Jose a tarde - inlcuir no sistema 02gatos eutanasia</t>
  </si>
  <si>
    <t xml:space="preserve">        </t>
  </si>
  <si>
    <t xml:space="preserve">MANHÃ
9h - Bortolo - Rua Frederico Domingos Gulin, 70, Tranqueira.
Gestora: Dalva - 9500-1519
Coordenadora: Katleen
10h30 - José Antoniacomi - Rua Carlos Manfron, 79, Tranqueira.
Gestora: Mara
Coordenadora: Meriele
TARDE
14h - José Antoniacomi
 15h30 – Bortolo.   </t>
  </si>
  <si>
    <r>
      <rPr>
        <sz val="11"/>
        <color rgb="FFFF0000"/>
        <rFont val="Arial"/>
      </rPr>
      <t xml:space="preserve">        </t>
    </r>
    <r>
      <rPr>
        <b/>
        <sz val="11"/>
        <color rgb="FF000000"/>
        <rFont val="Arial"/>
      </rPr>
      <t xml:space="preserve">2-Reunião coordenadores _Edson Dalk  -                                                </t>
    </r>
    <r>
      <rPr>
        <sz val="11"/>
        <color rgb="FFFF0000"/>
        <rFont val="Arial"/>
      </rPr>
      <t xml:space="preserve">📅 </t>
    </r>
    <r>
      <rPr>
        <sz val="11"/>
        <color rgb="FF000000"/>
        <rFont val="Arial"/>
      </rPr>
      <t xml:space="preserve">Data: 22 de maio de 2026 - carrapato e chagas
🕣 Horário: das 8h30 às 16h30
📍 Local:
Av. Iraí, nº 696, bairro Weissópolis – Pinhais/PR
Auditório da Secretaria Municipal de Educação de Pinhais.
A participação deverá ser confirmada por meio de inscrição individual (um formulário por participante) no seguinte link: </t>
    </r>
    <r>
      <rPr>
        <u/>
        <sz val="11"/>
        <color rgb="FF1155CC"/>
        <rFont val="Arial"/>
      </rPr>
      <t>https://forms.gle/61Vt7yrNBGqUYwZ16</t>
    </r>
    <r>
      <rPr>
        <sz val="11"/>
        <color rgb="FF000000"/>
        <rFont val="Arial"/>
      </rPr>
      <t xml:space="preserve">
⏳ O prazo para confirmação das inscrições será até o dia 19/05/2026.</t>
    </r>
  </si>
  <si>
    <r>
      <rPr>
        <sz val="11"/>
        <color theme="1"/>
        <rFont val="Arial"/>
      </rPr>
      <t xml:space="preserve">Palestra Formativa alusiva ao 18 de Maio – Combate à Exploração Sexual de Crianças e Adolescentes*. </t>
    </r>
    <r>
      <rPr>
        <u/>
        <sz val="11"/>
        <color rgb="FF1155CC"/>
        <rFont val="Arial"/>
      </rPr>
      <t>https://docs.google.com/forms/d/e/1FAIpQLSfpJr_NAAg2XXhNGP6tytuu6GCwC4CEZKISbPL-J37EPN1deg/viewform?usp=sharing&amp;ouid=105447449640670727737</t>
    </r>
    <r>
      <rPr>
        <sz val="11"/>
        <color theme="1"/>
        <rFont val="Arial"/>
      </rPr>
      <t xml:space="preserve">
📅 *Data:* 25/05/2026
🕒 *Horário:* 13h30
📍 *Local:* Centro de Convenções Sebastião Natal Colodel (Parque Aníbal Cury)</t>
    </r>
  </si>
  <si>
    <t>Consulta Ber 14:00</t>
  </si>
  <si>
    <t xml:space="preserve">Eurípedes
Endereço: R. Leonardo Muraski, 512 – Jardim Paraíso
📅 Datas:  27/05
⏰ Horários: 10h30 e  15h30
</t>
  </si>
  <si>
    <r>
      <rPr>
        <b/>
        <sz val="11"/>
        <color rgb="FFFF0000"/>
        <rFont val="Arial"/>
      </rPr>
      <t>1-PE CICLO 11 -</t>
    </r>
    <r>
      <rPr>
        <b/>
        <sz val="11"/>
        <color rgb="FF000000"/>
        <rFont val="Arial"/>
      </rPr>
      <t xml:space="preserve">9h/14h - Cmei Joanna
  - Rua Tereza Fonseca Camargo, 61 - Jardim
  Dourados
Gestora: Maria Sonia - 98445-0158
Coordenadora: Renata  </t>
    </r>
  </si>
  <si>
    <r>
      <rPr>
        <b/>
        <sz val="11"/>
        <color theme="1"/>
        <rFont val="Arial"/>
      </rPr>
      <t xml:space="preserve">1- reuniao equipe endemias- </t>
    </r>
    <r>
      <rPr>
        <b/>
        <sz val="11"/>
        <color rgb="FFFF0000"/>
        <rFont val="Arial"/>
      </rPr>
      <t>1-PE CICLO 11</t>
    </r>
    <r>
      <rPr>
        <b/>
        <sz val="11"/>
        <color theme="1"/>
        <rFont val="Arial"/>
      </rPr>
      <t xml:space="preserve">  </t>
    </r>
  </si>
  <si>
    <r>
      <rPr>
        <sz val="11"/>
        <color rgb="FFFF0000"/>
        <rFont val="Arial"/>
      </rPr>
      <t xml:space="preserve">1-PE CICLO 12 - </t>
    </r>
    <r>
      <rPr>
        <sz val="11"/>
        <color rgb="FF000000"/>
        <rFont val="Arial"/>
      </rPr>
      <t>verificar no diario de bordo da van se esta marcada a ida ao sao jose dos pinhais de emprestimo ao esporte</t>
    </r>
  </si>
  <si>
    <r>
      <rPr>
        <sz val="11"/>
        <color rgb="FFFF0000"/>
        <rFont val="Arial"/>
      </rPr>
      <t xml:space="preserve">1-PE CICLO 12  -- </t>
    </r>
    <r>
      <rPr>
        <sz val="11"/>
        <color rgb="FF000000"/>
        <rFont val="Arial"/>
      </rPr>
      <t>consulta jose  a tarde</t>
    </r>
  </si>
  <si>
    <t xml:space="preserve"> MANHÃ
9h - Cmei Pequeno Polegar - Rua São Sebastião, 199, Jardim Monte Santo.
Gestora: Juliana - 98857-1960
Coordenadora:
10h30 - Lourenço - Rua São Bento, 435, Jardim Monte Santo.
Gestora: Sarita -  9796-1499
Coordenadora: Marli
TARDE
14h - Cmei Pequeno Polegar
15h30 - Lourenço</t>
  </si>
  <si>
    <t xml:space="preserve">RECESSO - 2º </t>
  </si>
  <si>
    <t>consulta jose  a tarde</t>
  </si>
  <si>
    <t>1-PE CICLO 13</t>
  </si>
  <si>
    <r>
      <rPr>
        <sz val="11"/>
        <color rgb="FFFF0000"/>
        <rFont val="Arial"/>
      </rPr>
      <t xml:space="preserve">1-PE CICLO 13          </t>
    </r>
    <r>
      <rPr>
        <b/>
        <sz val="11"/>
        <color theme="1"/>
        <rFont val="Arial"/>
      </rPr>
      <t>2-Reunião coordenadores _Edson Dalk</t>
    </r>
  </si>
  <si>
    <t xml:space="preserve">MANHÃ
9h - João Jhonson - Rua São Francisco de Lara Vaz, S/N, Morro Azul.
Gestora: Renata - 99559-6202
Coordenadora - Isabela
 10h30 - Maria Cavassin - Rua Antenor Manfron, 372, Capivara dos Manfron.
Gestora: Márcia - 98431-3887
  Coordenadora: Isabela
TARDE 
14h - João Jhonson 
15h30 - Maria Cavassin </t>
  </si>
  <si>
    <t>1- reuniao equipe endemias- REUNIAO COMITE ON LINE</t>
  </si>
  <si>
    <t xml:space="preserve">MANHÃ 
9h - Ant Rod Dias - Rua João Schereder 82, Vila Prado.
Gestora: Márcia - 9689-9875
Coordenadora: Marcela
TARDE 
14h - Cmei Ana Kokot - Rua professor Alberto Piekarz, 2790 - Colônia Antônio Prado.
Gestora: Doris - 98871-2698
Coordenadora: Sthefane
15h30 - Ant Rod Dias
 </t>
  </si>
  <si>
    <t>1-PE CICLO 14</t>
  </si>
  <si>
    <t>FERIAS PEDRO</t>
  </si>
  <si>
    <t>FERIAS EVALDO/ ANA / CECCON/PEDRO</t>
  </si>
  <si>
    <r>
      <rPr>
        <sz val="11"/>
        <color rgb="FFFF0000"/>
        <rFont val="Arial"/>
      </rPr>
      <t xml:space="preserve">1-PE CICLO 15   </t>
    </r>
    <r>
      <rPr>
        <sz val="11"/>
        <color rgb="FF000000"/>
        <rFont val="Arial"/>
      </rPr>
      <t>FERIAS EVALDO/ ANA / CECCON/PEDRO</t>
    </r>
  </si>
  <si>
    <r>
      <rPr>
        <sz val="11"/>
        <color rgb="FFFF0000"/>
        <rFont val="Arial"/>
      </rPr>
      <t xml:space="preserve">1-PE CICLO 15  </t>
    </r>
    <r>
      <rPr>
        <sz val="11"/>
        <color rgb="FF000000"/>
        <rFont val="Arial"/>
      </rPr>
      <t>FERIAS EVALDO/ ANA / CECCON/PEDRO</t>
    </r>
  </si>
  <si>
    <r>
      <rPr>
        <b/>
        <sz val="11"/>
        <color theme="1"/>
        <rFont val="Arial"/>
      </rPr>
      <t>1-Reunião coordenadores _Edson Dalk  -</t>
    </r>
    <r>
      <rPr>
        <sz val="11"/>
        <color theme="1"/>
        <rFont val="Arial"/>
      </rPr>
      <t>FERIAS EVALDO/ ANA / CECCON/PEDRO</t>
    </r>
  </si>
  <si>
    <r>
      <rPr>
        <b/>
        <sz val="11"/>
        <color theme="1"/>
        <rFont val="Arial"/>
      </rPr>
      <t>curso capacitação gestão 08:00 as 16:30</t>
    </r>
    <r>
      <rPr>
        <sz val="11"/>
        <color theme="1"/>
        <rFont val="Arial"/>
      </rPr>
      <t xml:space="preserve"> - folder dia 06 vanessa whats - FERIAS PEDRO</t>
    </r>
  </si>
  <si>
    <r>
      <rPr>
        <sz val="11"/>
        <color rgb="FFFF0000"/>
        <rFont val="Arial"/>
      </rPr>
      <t xml:space="preserve">1-PE CICLO 16 - </t>
    </r>
    <r>
      <rPr>
        <sz val="11"/>
        <color rgb="FF000000"/>
        <rFont val="Arial"/>
      </rPr>
      <t>FERIAS PEDRO</t>
    </r>
  </si>
  <si>
    <r>
      <rPr>
        <sz val="11"/>
        <color rgb="FFFF0000"/>
        <rFont val="Arial"/>
      </rPr>
      <t xml:space="preserve">1-PE CICLO 16          </t>
    </r>
    <r>
      <rPr>
        <b/>
        <sz val="11"/>
        <color rgb="FF000000"/>
        <rFont val="Arial"/>
      </rPr>
      <t xml:space="preserve">2-reuniao equipe endemias - </t>
    </r>
    <r>
      <rPr>
        <sz val="11"/>
        <color rgb="FF000000"/>
        <rFont val="Arial"/>
      </rPr>
      <t>FERIAS PEDRO</t>
    </r>
  </si>
  <si>
    <t xml:space="preserve">MANHÃ 
9h - Almirante - Rua José Carlos Colodel 139
Gestora: Fernanda - 99678-9828
Coordenadora: Shirley 
10h30 - João Batista - Rua Pedro Teixeira Alves, 1799, Sumidouro. 
Gestora: Simone - 99983-5445
Coordenadora: Taiana
TARDE 
14h - Almirante
15h30 - João Batista
</t>
  </si>
  <si>
    <t>1-PE CICLO 17</t>
  </si>
  <si>
    <r>
      <rPr>
        <sz val="12"/>
        <color rgb="FFFF0000"/>
        <rFont val="Arial"/>
      </rPr>
      <t xml:space="preserve">Retorno de ferias do Evaldo - </t>
    </r>
    <r>
      <rPr>
        <b/>
        <sz val="12"/>
        <color rgb="FF000000"/>
        <rFont val="Arial"/>
      </rPr>
      <t>curso capacitação gestão 08:00 as 16:30</t>
    </r>
  </si>
  <si>
    <r>
      <rPr>
        <b/>
        <sz val="10"/>
        <color rgb="FF7030A0"/>
        <rFont val="Arial"/>
      </rPr>
      <t xml:space="preserve"> MANHÃ 
9h - Rosilda - Avenida Emílio Jhonson 1171, Centro.
Gestora: Mel - 99942-5781
Coordenadora: Nayla
10h30 - Jardim Taiza - Rua Maringá 267, Jardim Taiza
Gestora: Fernanda - 99116-7901
Coordenadora: Goreti
TARDE 
14h - Jardim Taiza -                        </t>
    </r>
    <r>
      <rPr>
        <sz val="10"/>
        <color rgb="FF000000"/>
        <rFont val="Arial"/>
      </rPr>
      <t xml:space="preserve"> </t>
    </r>
    <r>
      <rPr>
        <b/>
        <sz val="11"/>
        <color rgb="FF000000"/>
        <rFont val="Arial"/>
      </rPr>
      <t>curso capacitação gestão 08:00 as 16:30</t>
    </r>
  </si>
  <si>
    <t>1-PE CICLO 18</t>
  </si>
  <si>
    <r>
      <rPr>
        <b/>
        <sz val="12"/>
        <color rgb="FFFF0000"/>
        <rFont val="Arial"/>
      </rPr>
      <t xml:space="preserve">1-PE CICLO 18              </t>
    </r>
    <r>
      <rPr>
        <b/>
        <sz val="12"/>
        <color theme="1"/>
        <rFont val="Arial"/>
      </rPr>
      <t>2-Reunião coordenadores _Edson Dalk</t>
    </r>
  </si>
  <si>
    <t>1-reuniao equipe endemias- REUNIAO COMITE ON LINE</t>
  </si>
  <si>
    <t xml:space="preserve">  </t>
  </si>
  <si>
    <t xml:space="preserve"> MANHÃ
9h - Cmei Dona Ruth - Av. Ver. Wadislau Bugalski n°5086, Lamenha Grande
GESTORA: Patricia - 98714-4885
Coordenadora: Amabile
10h - Kochany - Rua Vereador Wadislau Bugalski, 4230 - Lamenha Grande.
GESTORA: Francislaine - 92000-8751
Coordenadoras - Beatriz, Daniela e Franciele
TARDE
14h - Cmei Dona Ruth
15h - Kochany</t>
  </si>
  <si>
    <t>1-PE CICLO 19</t>
  </si>
  <si>
    <t>- MANHÃ   
9h - Cmei Cantinho Do Céu -  Rua João Antunes de Lara Cachoeira, 373, Cachoeira.
Gestora: Elisangela - 99608-8410
Coordenadora: Danieli
10h - Perussi - Rua Antônio Rodrigues Dias, 904, Bonfim.
Gestora: Diana - 99852-2801
Coordenadora: Simone
TARDE
14h - Cmei Cantinho Do Céu 
15h30 - Perussi</t>
  </si>
  <si>
    <t>1-PE CICLO 20</t>
  </si>
  <si>
    <r>
      <rPr>
        <b/>
        <sz val="10"/>
        <color rgb="FFFF0000"/>
        <rFont val="Arial"/>
      </rPr>
      <t xml:space="preserve">1-PE CICLO 20              </t>
    </r>
    <r>
      <rPr>
        <b/>
        <sz val="10"/>
        <color theme="1"/>
        <rFont val="Arial"/>
      </rPr>
      <t>2-Reunião coordenadores _Edson Dalk</t>
    </r>
  </si>
  <si>
    <t xml:space="preserve">1-reuniao equipe endemias </t>
  </si>
  <si>
    <t>1-PE CICLO 21</t>
  </si>
  <si>
    <t>MANHÃ
9h - Cmei Cida Sabadin - R. Rio Marmeleiro, 87 - Jardim Rafaela.
GESTORA: Luciana - 9945-3596
Coordenadora - Caroline
10h30 - Ignácio - Rua dos Pinheiros, 100 - Jardim Silvana
GESTORA: Solange - 9895-0738
Coordenadora: Joseli
TARDE
14h - Cmei Cida Sabadin 
15h30 – Ignácio</t>
  </si>
  <si>
    <t>1-PE CICLO 22</t>
  </si>
  <si>
    <t>- MANHÃ 
9h - Cmei Graziela - Rua Grécia, 88 - Jardim Graziela.
Gestora: Dafine - 99600-3299
Coordenadora: Renata
10h30 - Jardim Graziela - Rua Áustria, s/n - Jardim Graziela
Gestora: Josiane - 99840-2904
Coordenadora - Ana Claudia
TARDE
14h - Cmei Graziela
15h30 – Jardim Graziela</t>
  </si>
  <si>
    <t>1-Reunião coordenadores _Edson Dalk</t>
  </si>
  <si>
    <t>FERIADO - SERVIDOR</t>
  </si>
  <si>
    <t>1-PE CICLO 23</t>
  </si>
  <si>
    <r>
      <rPr>
        <b/>
        <sz val="10"/>
        <color rgb="FFFF0000"/>
        <rFont val="Arial"/>
      </rPr>
      <t xml:space="preserve">1-PE CICLO 23               </t>
    </r>
    <r>
      <rPr>
        <b/>
        <sz val="10"/>
        <color theme="1"/>
        <rFont val="Arial"/>
      </rPr>
      <t>2-reuniao equipe endemias</t>
    </r>
    <r>
      <rPr>
        <b/>
        <sz val="10"/>
        <color rgb="FFFF0000"/>
        <rFont val="Arial"/>
      </rPr>
      <t xml:space="preserve">-                   </t>
    </r>
    <r>
      <rPr>
        <b/>
        <sz val="10"/>
        <color theme="1"/>
        <rFont val="Arial"/>
      </rPr>
      <t>3-REUNIAO COMITE PRESENCIAL</t>
    </r>
  </si>
  <si>
    <t>9h - Cmei Octacília - Rua Antônio Stochero, 495, São João Batista,
  Almirante Tamandaré, Paraná, Cep: 83514-070
GESTORA: Jessica - 9990-9550
Coordenadora - Valquiria
 TARDE
14h - Cmei Octacília</t>
  </si>
  <si>
    <t>LIRA</t>
  </si>
  <si>
    <t xml:space="preserve">LIRA       PE CICLO 24 </t>
  </si>
  <si>
    <r>
      <rPr>
        <b/>
        <sz val="10"/>
        <color rgb="FFFF0000"/>
        <rFont val="Arial"/>
      </rPr>
      <t>LIRA -</t>
    </r>
    <r>
      <rPr>
        <b/>
        <sz val="10"/>
        <color theme="1"/>
        <rFont val="Arial"/>
      </rPr>
      <t xml:space="preserve">                                1-Reunião coordenadores _Edson Dalk</t>
    </r>
  </si>
  <si>
    <t xml:space="preserve"> MANHÃ
9h - Coronel - Tv. José Ferreira, 93 - Col. São Venâncio
Gestora: Daniele - 99554-8809
Coordenadoras: Eliude, Solange e Sirlei
TARDE
14h - Coronel</t>
  </si>
  <si>
    <t>reuniao equipe endemias</t>
  </si>
  <si>
    <t xml:space="preserve">1-REUNIÃO COMITE DENGUE </t>
  </si>
  <si>
    <t>1- reuniao equipe endemias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</si>
</sst>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3" x14ac:knownFonts="1">
    <font>
      <sz val="11"/>
      <color rgb="FF000000"/>
      <name val="Trebuchet MS"/>
      <scheme val="minor"/>
    </font>
    <font>
      <sz val="11"/>
      <color theme="1"/>
      <name val="Arial"/>
    </font>
    <font>
      <b/>
      <sz val="28"/>
      <color theme="0"/>
      <name val="Arial"/>
    </font>
    <font>
      <sz val="36"/>
      <color rgb="FF25766F"/>
      <name val="Arial"/>
    </font>
    <font>
      <sz val="10"/>
      <color theme="1"/>
      <name val="Arial"/>
    </font>
    <font>
      <b/>
      <sz val="11"/>
      <color theme="0"/>
      <name val="Arial"/>
    </font>
    <font>
      <sz val="16"/>
      <color theme="1"/>
      <name val="Arial"/>
    </font>
    <font>
      <b/>
      <sz val="11"/>
      <color rgb="FFFF0000"/>
      <name val="Arial"/>
    </font>
    <font>
      <b/>
      <sz val="11"/>
      <color theme="1"/>
      <name val="Arial"/>
    </font>
    <font>
      <sz val="11"/>
      <name val="Trebuchet MS"/>
    </font>
    <font>
      <u/>
      <sz val="11"/>
      <color theme="1"/>
      <name val="Arial"/>
    </font>
    <font>
      <b/>
      <sz val="10"/>
      <color theme="1"/>
      <name val="Arial"/>
    </font>
    <font>
      <b/>
      <sz val="11"/>
      <color rgb="FF7030A0"/>
      <name val="Arial"/>
    </font>
    <font>
      <b/>
      <sz val="12"/>
      <color rgb="FF7030A0"/>
      <name val="Arial"/>
    </font>
    <font>
      <sz val="11"/>
      <color rgb="FFFF0000"/>
      <name val="Arial"/>
    </font>
    <font>
      <sz val="11"/>
      <color rgb="FF00FF00"/>
      <name val="Arial"/>
    </font>
    <font>
      <b/>
      <sz val="9"/>
      <color rgb="FF7030A0"/>
      <name val="Arial"/>
    </font>
    <font>
      <b/>
      <sz val="10"/>
      <color rgb="FF7030A0"/>
      <name val="Arial"/>
    </font>
    <font>
      <b/>
      <sz val="8"/>
      <color rgb="FF7030A0"/>
      <name val="Arial"/>
    </font>
    <font>
      <sz val="11"/>
      <color rgb="FF000000"/>
      <name val="Arial"/>
    </font>
    <font>
      <u/>
      <sz val="11"/>
      <color rgb="FFFF0000"/>
      <name val="Arial"/>
    </font>
    <font>
      <u/>
      <sz val="11"/>
      <color theme="1"/>
      <name val="Arial"/>
    </font>
    <font>
      <b/>
      <sz val="13"/>
      <color rgb="FF7030A0"/>
      <name val="Calibri"/>
    </font>
    <font>
      <b/>
      <sz val="10"/>
      <color rgb="FFFF0000"/>
      <name val="Arial"/>
    </font>
    <font>
      <sz val="12"/>
      <color theme="1"/>
      <name val="Arial"/>
    </font>
    <font>
      <b/>
      <sz val="12"/>
      <color rgb="FFFF0000"/>
      <name val="Arial"/>
    </font>
    <font>
      <sz val="12"/>
      <color rgb="FFFF0000"/>
      <name val="Arial"/>
    </font>
    <font>
      <b/>
      <sz val="10"/>
      <color rgb="FF99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9900FF"/>
      <name val="Arial"/>
    </font>
    <font>
      <b/>
      <sz val="11"/>
      <color rgb="FF25766F"/>
      <name val="Arial"/>
    </font>
    <font>
      <b/>
      <sz val="11"/>
      <color rgb="FF9900FF"/>
      <name val="Arial"/>
    </font>
    <font>
      <b/>
      <sz val="11"/>
      <color rgb="FF00B0F0"/>
      <name val="Arial"/>
    </font>
    <font>
      <sz val="11"/>
      <color rgb="FF00B0F0"/>
      <name val="Arial"/>
    </font>
    <font>
      <sz val="11"/>
      <color rgb="FF7030A0"/>
      <name val="Arial"/>
    </font>
    <font>
      <b/>
      <u/>
      <sz val="11"/>
      <color theme="1"/>
      <name val="Arial"/>
    </font>
    <font>
      <b/>
      <sz val="11"/>
      <color rgb="FF5A8431"/>
      <name val="Arial"/>
    </font>
    <font>
      <b/>
      <sz val="11"/>
      <color rgb="FF00B050"/>
      <name val="Arial"/>
    </font>
    <font>
      <sz val="11"/>
      <color rgb="FF00B050"/>
      <name val="Arial"/>
    </font>
    <font>
      <u/>
      <sz val="10"/>
      <color theme="1"/>
      <name val="Arial"/>
    </font>
    <font>
      <b/>
      <sz val="10"/>
      <color rgb="FFCC5D0A"/>
      <name val="Arial"/>
    </font>
    <font>
      <b/>
      <sz val="10"/>
      <color rgb="FF5A8431"/>
      <name val="Arial"/>
    </font>
    <font>
      <b/>
      <sz val="12"/>
      <color theme="1"/>
      <name val="Arial"/>
    </font>
    <font>
      <b/>
      <sz val="11"/>
      <color rgb="FF00FF00"/>
      <name val="Arial"/>
    </font>
    <font>
      <b/>
      <sz val="11"/>
      <color rgb="FFFF00FF"/>
      <name val="Arial"/>
    </font>
    <font>
      <sz val="11"/>
      <color rgb="FF38761D"/>
      <name val="Arial"/>
    </font>
    <font>
      <b/>
      <sz val="10"/>
      <color rgb="FF000000"/>
      <name val="Arial"/>
    </font>
    <font>
      <sz val="11"/>
      <color rgb="FFFF9900"/>
      <name val="Arial"/>
    </font>
    <font>
      <b/>
      <sz val="11"/>
      <color rgb="FF000000"/>
      <name val="Arial"/>
    </font>
    <font>
      <u/>
      <sz val="11"/>
      <color rgb="FF1155CC"/>
      <name val="Arial"/>
    </font>
    <font>
      <b/>
      <sz val="12"/>
      <color rgb="FF000000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5766F"/>
        <bgColor rgb="FF25766F"/>
      </patternFill>
    </fill>
    <fill>
      <patternFill patternType="solid">
        <fgColor rgb="FF3C5821"/>
        <bgColor rgb="FF3C5821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8F8F9"/>
        <bgColor rgb="FFF8F8F9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4" fillId="0" borderId="0" xfId="0" applyFont="1"/>
    <xf numFmtId="0" fontId="5" fillId="4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164" fontId="6" fillId="0" borderId="3" xfId="0" applyNumberFormat="1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164" fontId="6" fillId="5" borderId="9" xfId="0" applyNumberFormat="1" applyFont="1" applyFill="1" applyBorder="1" applyAlignment="1">
      <alignment horizontal="left" vertical="center" wrapText="1"/>
    </xf>
    <xf numFmtId="164" fontId="6" fillId="5" borderId="10" xfId="0" applyNumberFormat="1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" fillId="5" borderId="1" xfId="0" applyFont="1" applyFill="1" applyBorder="1"/>
    <xf numFmtId="0" fontId="10" fillId="0" borderId="5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3" fillId="5" borderId="7" xfId="0" applyFont="1" applyFill="1" applyBorder="1" applyAlignment="1">
      <alignment horizontal="left" vertical="top" wrapText="1"/>
    </xf>
    <xf numFmtId="0" fontId="13" fillId="7" borderId="7" xfId="0" applyFont="1" applyFill="1" applyBorder="1" applyAlignment="1">
      <alignment horizontal="left" vertical="top" wrapText="1"/>
    </xf>
    <xf numFmtId="0" fontId="11" fillId="7" borderId="7" xfId="0" applyFont="1" applyFill="1" applyBorder="1" applyAlignment="1">
      <alignment horizontal="left" vertical="top" wrapText="1"/>
    </xf>
    <xf numFmtId="0" fontId="14" fillId="5" borderId="7" xfId="0" applyFont="1" applyFill="1" applyBorder="1" applyAlignment="1">
      <alignment horizontal="left" vertical="top" wrapText="1"/>
    </xf>
    <xf numFmtId="0" fontId="1" fillId="6" borderId="7" xfId="0" applyFont="1" applyFill="1" applyBorder="1" applyAlignment="1">
      <alignment horizontal="left" vertical="top" wrapText="1"/>
    </xf>
    <xf numFmtId="0" fontId="12" fillId="7" borderId="7" xfId="0" applyFont="1" applyFill="1" applyBorder="1" applyAlignment="1">
      <alignment horizontal="left" vertical="top" wrapText="1"/>
    </xf>
    <xf numFmtId="0" fontId="8" fillId="7" borderId="7" xfId="0" applyFont="1" applyFill="1" applyBorder="1" applyAlignment="1">
      <alignment horizontal="left" vertical="top" wrapText="1"/>
    </xf>
    <xf numFmtId="0" fontId="15" fillId="5" borderId="7" xfId="0" applyFont="1" applyFill="1" applyBorder="1" applyAlignment="1">
      <alignment horizontal="left" vertical="top" wrapText="1"/>
    </xf>
    <xf numFmtId="0" fontId="14" fillId="7" borderId="7" xfId="0" applyFont="1" applyFill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6" fillId="5" borderId="7" xfId="0" applyFont="1" applyFill="1" applyBorder="1" applyAlignment="1">
      <alignment horizontal="left" vertical="top" wrapText="1"/>
    </xf>
    <xf numFmtId="0" fontId="17" fillId="5" borderId="7" xfId="0" applyFont="1" applyFill="1" applyBorder="1" applyAlignment="1">
      <alignment horizontal="left" vertical="top" wrapText="1"/>
    </xf>
    <xf numFmtId="0" fontId="18" fillId="5" borderId="7" xfId="0" applyFont="1" applyFill="1" applyBorder="1" applyAlignment="1">
      <alignment horizontal="left" vertical="top" wrapText="1"/>
    </xf>
    <xf numFmtId="0" fontId="19" fillId="5" borderId="7" xfId="0" applyFont="1" applyFill="1" applyBorder="1" applyAlignment="1">
      <alignment horizontal="left" vertical="top" wrapText="1"/>
    </xf>
    <xf numFmtId="0" fontId="20" fillId="5" borderId="7" xfId="0" applyFont="1" applyFill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2" fillId="0" borderId="0" xfId="0" applyFont="1" applyAlignment="1">
      <alignment vertical="top" wrapText="1"/>
    </xf>
    <xf numFmtId="0" fontId="17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64" fontId="24" fillId="0" borderId="3" xfId="0" applyNumberFormat="1" applyFont="1" applyBorder="1" applyAlignment="1">
      <alignment horizontal="left" vertical="center" wrapText="1"/>
    </xf>
    <xf numFmtId="164" fontId="4" fillId="0" borderId="4" xfId="0" applyNumberFormat="1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25" fillId="0" borderId="5" xfId="0" applyFont="1" applyBorder="1" applyAlignment="1">
      <alignment horizontal="left" vertical="top" wrapText="1"/>
    </xf>
    <xf numFmtId="164" fontId="1" fillId="0" borderId="4" xfId="0" applyNumberFormat="1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top" wrapText="1"/>
    </xf>
    <xf numFmtId="20" fontId="24" fillId="0" borderId="5" xfId="0" applyNumberFormat="1" applyFont="1" applyBorder="1" applyAlignment="1">
      <alignment horizontal="left" vertical="top" wrapText="1"/>
    </xf>
    <xf numFmtId="0" fontId="17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164" fontId="6" fillId="0" borderId="3" xfId="0" applyNumberFormat="1" applyFont="1" applyBorder="1" applyAlignment="1">
      <alignment horizontal="left" vertical="top" wrapText="1"/>
    </xf>
    <xf numFmtId="164" fontId="6" fillId="0" borderId="4" xfId="0" applyNumberFormat="1" applyFont="1" applyBorder="1" applyAlignment="1">
      <alignment horizontal="left" vertical="top" wrapText="1"/>
    </xf>
    <xf numFmtId="0" fontId="27" fillId="5" borderId="7" xfId="0" applyFont="1" applyFill="1" applyBorder="1" applyAlignment="1">
      <alignment horizontal="left" vertical="top" wrapText="1"/>
    </xf>
    <xf numFmtId="0" fontId="23" fillId="5" borderId="7" xfId="0" applyFont="1" applyFill="1" applyBorder="1" applyAlignment="1">
      <alignment horizontal="left" vertical="top" wrapText="1"/>
    </xf>
    <xf numFmtId="0" fontId="28" fillId="0" borderId="0" xfId="0" applyFont="1" applyAlignment="1">
      <alignment wrapText="1"/>
    </xf>
    <xf numFmtId="0" fontId="29" fillId="6" borderId="7" xfId="0" applyFont="1" applyFill="1" applyBorder="1" applyAlignment="1">
      <alignment horizontal="left" vertical="top" wrapText="1"/>
    </xf>
    <xf numFmtId="0" fontId="30" fillId="0" borderId="5" xfId="0" applyFont="1" applyBorder="1" applyAlignment="1">
      <alignment horizontal="left" vertical="top" wrapText="1"/>
    </xf>
    <xf numFmtId="0" fontId="29" fillId="0" borderId="0" xfId="0" applyFont="1" applyAlignment="1">
      <alignment vertical="center" wrapText="1"/>
    </xf>
    <xf numFmtId="0" fontId="27" fillId="0" borderId="5" xfId="0" applyFont="1" applyBorder="1" applyAlignment="1">
      <alignment horizontal="left" vertical="top" wrapText="1"/>
    </xf>
    <xf numFmtId="0" fontId="23" fillId="8" borderId="1" xfId="0" applyFont="1" applyFill="1" applyBorder="1" applyAlignment="1">
      <alignment vertical="center" wrapText="1"/>
    </xf>
    <xf numFmtId="0" fontId="31" fillId="0" borderId="6" xfId="0" applyFont="1" applyBorder="1" applyAlignment="1">
      <alignment horizontal="left" vertical="top" wrapText="1"/>
    </xf>
    <xf numFmtId="0" fontId="31" fillId="0" borderId="5" xfId="0" applyFont="1" applyBorder="1" applyAlignment="1">
      <alignment horizontal="left" vertical="top" wrapText="1"/>
    </xf>
    <xf numFmtId="0" fontId="32" fillId="5" borderId="7" xfId="0" applyFont="1" applyFill="1" applyBorder="1" applyAlignment="1">
      <alignment horizontal="left" vertical="top" wrapText="1"/>
    </xf>
    <xf numFmtId="0" fontId="31" fillId="5" borderId="11" xfId="0" applyFont="1" applyFill="1" applyBorder="1" applyAlignment="1">
      <alignment horizontal="left" vertical="top" wrapText="1"/>
    </xf>
    <xf numFmtId="0" fontId="31" fillId="5" borderId="7" xfId="0" applyFont="1" applyFill="1" applyBorder="1" applyAlignment="1">
      <alignment horizontal="left" vertical="top" wrapText="1"/>
    </xf>
    <xf numFmtId="0" fontId="33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34" fillId="0" borderId="6" xfId="0" applyFont="1" applyBorder="1" applyAlignment="1">
      <alignment horizontal="left" vertical="top" wrapText="1"/>
    </xf>
    <xf numFmtId="0" fontId="33" fillId="5" borderId="7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0" fillId="0" borderId="0" xfId="0"/>
    <xf numFmtId="0" fontId="1" fillId="5" borderId="12" xfId="0" applyFont="1" applyFill="1" applyBorder="1" applyAlignment="1">
      <alignment horizontal="left" vertical="center" wrapText="1"/>
    </xf>
    <xf numFmtId="0" fontId="9" fillId="0" borderId="13" xfId="0" applyFont="1" applyBorder="1"/>
    <xf numFmtId="0" fontId="9" fillId="0" borderId="14" xfId="0" applyFont="1" applyBorder="1"/>
    <xf numFmtId="0" fontId="1" fillId="5" borderId="15" xfId="0" applyFont="1" applyFill="1" applyBorder="1" applyAlignment="1">
      <alignment horizontal="left" vertical="top" wrapText="1"/>
    </xf>
    <xf numFmtId="0" fontId="9" fillId="0" borderId="16" xfId="0" applyFont="1" applyBorder="1"/>
    <xf numFmtId="0" fontId="9" fillId="0" borderId="17" xfId="0" applyFont="1" applyBorder="1"/>
    <xf numFmtId="0" fontId="1" fillId="0" borderId="4" xfId="0" applyFont="1" applyBorder="1" applyAlignment="1">
      <alignment horizontal="left" vertical="center" wrapText="1"/>
    </xf>
    <xf numFmtId="0" fontId="9" fillId="0" borderId="19" xfId="0" applyFont="1" applyBorder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2388CF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forms/d/e/1FAIpQLSfpJr_NAAg2XXhNGP6tytuu6GCwC4CEZKISbPL-J37EPN1deg/viewform?usp=sharing&amp;ouid=105447449640670727737" TargetMode="External"/><Relationship Id="rId1" Type="http://schemas.openxmlformats.org/officeDocument/2006/relationships/hyperlink" Target="https://forms.gle/61Vt7yrNBGqUYwZ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766F"/>
    <pageSetUpPr fitToPage="1"/>
  </sheetPr>
  <dimension ref="A1:H154"/>
  <sheetViews>
    <sheetView showGridLines="0" tabSelected="1" workbookViewId="0">
      <selection activeCell="F6" sqref="F6"/>
    </sheetView>
  </sheetViews>
  <sheetFormatPr defaultColWidth="12.625" defaultRowHeight="15" customHeight="1" x14ac:dyDescent="0.3"/>
  <cols>
    <col min="1" max="1" width="2" customWidth="1"/>
    <col min="2" max="6" width="20.625" customWidth="1"/>
    <col min="7" max="7" width="24.75" customWidth="1"/>
    <col min="8" max="8" width="21.125" customWidth="1"/>
  </cols>
  <sheetData>
    <row r="1" spans="1:8" ht="54" customHeight="1" x14ac:dyDescent="0.55000000000000004">
      <c r="A1" s="1"/>
      <c r="B1" s="2">
        <v>2026</v>
      </c>
      <c r="C1" s="80" t="s">
        <v>0</v>
      </c>
      <c r="D1" s="81"/>
      <c r="E1" s="81"/>
      <c r="F1" s="1"/>
      <c r="G1" s="1"/>
      <c r="H1" s="1"/>
    </row>
    <row r="2" spans="1:8" ht="14.25" customHeight="1" x14ac:dyDescent="0.3">
      <c r="A2" s="4"/>
      <c r="B2" s="5" t="s">
        <v>1</v>
      </c>
      <c r="C2" s="6" t="str">
        <f t="shared" ref="C2:H2" si="0">UPPER(TEXT(C3,"dddd"))</f>
        <v>SEGUNDA-FEIRA</v>
      </c>
      <c r="D2" s="5" t="str">
        <f t="shared" si="0"/>
        <v>TERÇA-FEIRA</v>
      </c>
      <c r="E2" s="6" t="str">
        <f t="shared" si="0"/>
        <v>QUARTA-FEIRA</v>
      </c>
      <c r="F2" s="5" t="str">
        <f t="shared" si="0"/>
        <v>QUINTA-FEIRA</v>
      </c>
      <c r="G2" s="6" t="str">
        <f t="shared" si="0"/>
        <v>SEXTA-FEIRA</v>
      </c>
      <c r="H2" s="5" t="str">
        <f t="shared" si="0"/>
        <v>SÁBADO</v>
      </c>
    </row>
    <row r="3" spans="1:8" ht="16.5" customHeight="1" x14ac:dyDescent="0.3">
      <c r="A3" s="3"/>
      <c r="B3" s="7">
        <f t="array" ref="B3:H3">Dias+1+DATE(CalendárioAno1,CaléndárioMês1Opção,1)-WEEKDAY(DATE(CalendárioAno1,CaléndárioMês1Opção,1),DiaDaSemanaOpção)</f>
        <v>46054</v>
      </c>
      <c r="C3" s="7">
        <v>46055</v>
      </c>
      <c r="D3" s="7">
        <v>46056</v>
      </c>
      <c r="E3" s="7">
        <v>46057</v>
      </c>
      <c r="F3" s="7">
        <v>46058</v>
      </c>
      <c r="G3" s="7">
        <v>46059</v>
      </c>
      <c r="H3" s="8">
        <v>46060</v>
      </c>
    </row>
    <row r="4" spans="1:8" ht="126" customHeight="1" x14ac:dyDescent="0.3">
      <c r="A4" s="3"/>
      <c r="B4" s="9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0" t="s">
        <v>7</v>
      </c>
      <c r="H4" s="11"/>
    </row>
    <row r="5" spans="1:8" ht="16.5" customHeight="1" x14ac:dyDescent="0.3">
      <c r="A5" s="3"/>
      <c r="B5" s="7">
        <f t="array" ref="B5:H5">Dias+8+DATE(CalendárioAno1,CaléndárioMês1Opção,1)-WEEKDAY(DATE(CalendárioAno1,CaléndárioMês1Opção,1),DiaDaSemanaOpção)</f>
        <v>46061</v>
      </c>
      <c r="C5" s="7">
        <v>46062</v>
      </c>
      <c r="D5" s="7">
        <v>46063</v>
      </c>
      <c r="E5" s="7">
        <v>46064</v>
      </c>
      <c r="F5" s="7">
        <v>46065</v>
      </c>
      <c r="G5" s="7">
        <v>46066</v>
      </c>
      <c r="H5" s="8">
        <v>46067</v>
      </c>
    </row>
    <row r="6" spans="1:8" ht="56.25" customHeight="1" x14ac:dyDescent="0.3">
      <c r="A6" s="3"/>
      <c r="B6" s="12"/>
      <c r="C6" s="12" t="s">
        <v>8</v>
      </c>
      <c r="D6" s="12" t="s">
        <v>9</v>
      </c>
      <c r="E6" s="13" t="s">
        <v>10</v>
      </c>
      <c r="F6" s="12" t="s">
        <v>11</v>
      </c>
      <c r="G6" s="12" t="s">
        <v>12</v>
      </c>
      <c r="H6" s="14"/>
    </row>
    <row r="7" spans="1:8" ht="16.5" customHeight="1" x14ac:dyDescent="0.3">
      <c r="A7" s="3"/>
      <c r="B7" s="15">
        <f t="array" ref="B7:H7">Dias+15+DATE(CalendárioAno1,CaléndárioMês1Opção,1)-WEEKDAY(DATE(CalendárioAno1,CaléndárioMês1Opção,1),DiaDaSemanaOpção)</f>
        <v>46068</v>
      </c>
      <c r="C7" s="15">
        <v>46069</v>
      </c>
      <c r="D7" s="15">
        <v>46070</v>
      </c>
      <c r="E7" s="15">
        <v>46071</v>
      </c>
      <c r="F7" s="15">
        <v>46072</v>
      </c>
      <c r="G7" s="15">
        <v>46073</v>
      </c>
      <c r="H7" s="16">
        <v>46074</v>
      </c>
    </row>
    <row r="8" spans="1:8" ht="114.75" customHeight="1" x14ac:dyDescent="0.3">
      <c r="A8" s="3"/>
      <c r="B8" s="12"/>
      <c r="C8" s="17" t="s">
        <v>13</v>
      </c>
      <c r="D8" s="17" t="s">
        <v>14</v>
      </c>
      <c r="E8" s="12" t="s">
        <v>15</v>
      </c>
      <c r="F8" s="18" t="s">
        <v>16</v>
      </c>
      <c r="G8" s="18" t="s">
        <v>17</v>
      </c>
      <c r="H8" s="19"/>
    </row>
    <row r="9" spans="1:8" ht="16.5" customHeight="1" x14ac:dyDescent="0.3">
      <c r="A9" s="3"/>
      <c r="B9" s="15">
        <f t="array" ref="B9:H9">Dias+22+DATE(CalendárioAno1,CaléndárioMês1Opção,1)-WEEKDAY(DATE(CalendárioAno1,CaléndárioMês1Opção,1),DiaDaSemanaOpção)</f>
        <v>46075</v>
      </c>
      <c r="C9" s="15">
        <v>46076</v>
      </c>
      <c r="D9" s="15">
        <v>46077</v>
      </c>
      <c r="E9" s="15">
        <v>46078</v>
      </c>
      <c r="F9" s="15">
        <v>46079</v>
      </c>
      <c r="G9" s="15">
        <v>46080</v>
      </c>
      <c r="H9" s="16">
        <v>46081</v>
      </c>
    </row>
    <row r="10" spans="1:8" ht="139.5" customHeight="1" x14ac:dyDescent="0.3">
      <c r="A10" s="3"/>
      <c r="B10" s="12"/>
      <c r="C10" s="12" t="s">
        <v>15</v>
      </c>
      <c r="D10" s="12" t="s">
        <v>18</v>
      </c>
      <c r="E10" s="12" t="s">
        <v>19</v>
      </c>
      <c r="F10" s="12" t="s">
        <v>20</v>
      </c>
      <c r="G10" s="12" t="s">
        <v>21</v>
      </c>
      <c r="H10" s="19"/>
    </row>
    <row r="11" spans="1:8" ht="16.5" customHeight="1" x14ac:dyDescent="0.3">
      <c r="A11" s="3"/>
      <c r="B11" s="15">
        <f t="array" ref="B11:H11">Dias+29+DATE(CalendárioAno1,CaléndárioMês1Opção,1)-WEEKDAY(DATE(CalendárioAno1,CaléndárioMês1Opção,1),DiaDaSemanaOpção)</f>
        <v>46082</v>
      </c>
      <c r="C11" s="15">
        <v>46083</v>
      </c>
      <c r="D11" s="15">
        <v>46084</v>
      </c>
      <c r="E11" s="15">
        <v>46085</v>
      </c>
      <c r="F11" s="15">
        <v>46086</v>
      </c>
      <c r="G11" s="15">
        <v>46087</v>
      </c>
      <c r="H11" s="16">
        <v>46088</v>
      </c>
    </row>
    <row r="12" spans="1:8" ht="57" customHeight="1" x14ac:dyDescent="0.3">
      <c r="A12" s="3"/>
      <c r="B12" s="12"/>
      <c r="C12" s="12"/>
      <c r="D12" s="12"/>
      <c r="E12" s="12"/>
      <c r="F12" s="12"/>
      <c r="G12" s="20"/>
      <c r="H12" s="19"/>
    </row>
    <row r="13" spans="1:8" ht="16.5" customHeight="1" x14ac:dyDescent="0.3">
      <c r="A13" s="3"/>
      <c r="B13" s="15">
        <f t="array" ref="B13:C13">Dias+36+DATE(CalendárioAno1,CaléndárioMês1Opção,1)-WEEKDAY(DATE(CalendárioAno1,CaléndárioMês1Opção,1),DiaDaSemanaOpção)</f>
        <v>46089</v>
      </c>
      <c r="C13" s="15">
        <v>46090</v>
      </c>
      <c r="D13" s="82" t="s">
        <v>22</v>
      </c>
      <c r="E13" s="83"/>
      <c r="F13" s="83"/>
      <c r="G13" s="83"/>
      <c r="H13" s="84"/>
    </row>
    <row r="14" spans="1:8" ht="63.75" customHeight="1" x14ac:dyDescent="0.3">
      <c r="A14" s="3"/>
      <c r="B14" s="12"/>
      <c r="C14" s="12"/>
      <c r="D14" s="85"/>
      <c r="E14" s="86"/>
      <c r="F14" s="86"/>
      <c r="G14" s="86"/>
      <c r="H14" s="87"/>
    </row>
    <row r="15" spans="1:8" ht="54" customHeight="1" x14ac:dyDescent="0.55000000000000004">
      <c r="A15" s="1"/>
      <c r="B15" s="2">
        <f>YEAR(DATE(CalendárioAno1,CaléndárioMês1Opção+1,1))</f>
        <v>2026</v>
      </c>
      <c r="C15" s="80" t="str">
        <f>TEXT(DATE(CalendárioAno1,CaléndárioMês1Opção+1,1),"mmmm")</f>
        <v>março</v>
      </c>
      <c r="D15" s="81"/>
      <c r="E15" s="81"/>
      <c r="F15" s="1"/>
      <c r="G15" s="1"/>
      <c r="H15" s="1"/>
    </row>
    <row r="16" spans="1:8" ht="14.25" customHeight="1" x14ac:dyDescent="0.3">
      <c r="A16" s="4"/>
      <c r="B16" s="5" t="str">
        <f t="shared" ref="B16:H16" si="1">UPPER(TEXT(B17,"dddd"))</f>
        <v>DOMINGO</v>
      </c>
      <c r="C16" s="6" t="str">
        <f t="shared" si="1"/>
        <v>SEGUNDA-FEIRA</v>
      </c>
      <c r="D16" s="5" t="str">
        <f t="shared" si="1"/>
        <v>TERÇA-FEIRA</v>
      </c>
      <c r="E16" s="6" t="str">
        <f t="shared" si="1"/>
        <v>QUARTA-FEIRA</v>
      </c>
      <c r="F16" s="5" t="str">
        <f t="shared" si="1"/>
        <v>QUINTA-FEIRA</v>
      </c>
      <c r="G16" s="6" t="str">
        <f t="shared" si="1"/>
        <v>SEXTA-FEIRA</v>
      </c>
      <c r="H16" s="5" t="str">
        <f t="shared" si="1"/>
        <v>SÁBADO</v>
      </c>
    </row>
    <row r="17" spans="1:8" ht="16.5" customHeight="1" x14ac:dyDescent="0.3">
      <c r="A17" s="3"/>
      <c r="B17" s="7">
        <f t="array" ref="B17:H17">Dias+1+DATE(CalendárioAno2,CaléndárioMês2Opção,1)-WEEKDAY(DATE(CalendárioAno2,CaléndárioMês2Opção,1),DiaDaSemanaOpção)</f>
        <v>46082</v>
      </c>
      <c r="C17" s="7">
        <v>46083</v>
      </c>
      <c r="D17" s="7">
        <v>46084</v>
      </c>
      <c r="E17" s="7">
        <v>46085</v>
      </c>
      <c r="F17" s="7">
        <v>46086</v>
      </c>
      <c r="G17" s="7">
        <v>46087</v>
      </c>
      <c r="H17" s="8">
        <v>46088</v>
      </c>
    </row>
    <row r="18" spans="1:8" ht="109.5" customHeight="1" x14ac:dyDescent="0.3">
      <c r="A18" s="3"/>
      <c r="B18" s="9"/>
      <c r="C18" s="21" t="s">
        <v>23</v>
      </c>
      <c r="D18" s="21" t="s">
        <v>24</v>
      </c>
      <c r="E18" s="22" t="s">
        <v>25</v>
      </c>
      <c r="F18" s="18" t="s">
        <v>26</v>
      </c>
      <c r="G18" s="18" t="s">
        <v>27</v>
      </c>
      <c r="H18" s="19"/>
    </row>
    <row r="19" spans="1:8" ht="16.5" customHeight="1" x14ac:dyDescent="0.3">
      <c r="A19" s="3"/>
      <c r="B19" s="7">
        <f t="array" ref="B19:H19">Dias+8+DATE(CalendárioAno2,CaléndárioMês2Opção,1)-WEEKDAY(DATE(CalendárioAno2,CaléndárioMês2Opção,1),DiaDaSemanaOpção)</f>
        <v>46089</v>
      </c>
      <c r="C19" s="7">
        <v>46090</v>
      </c>
      <c r="D19" s="7">
        <v>46091</v>
      </c>
      <c r="E19" s="7">
        <v>46092</v>
      </c>
      <c r="F19" s="7">
        <v>46093</v>
      </c>
      <c r="G19" s="7">
        <v>46094</v>
      </c>
      <c r="H19" s="8">
        <v>46095</v>
      </c>
    </row>
    <row r="20" spans="1:8" ht="284.25" customHeight="1" x14ac:dyDescent="0.3">
      <c r="A20" s="3"/>
      <c r="B20" s="9"/>
      <c r="C20" s="9" t="s">
        <v>28</v>
      </c>
      <c r="D20" s="9" t="s">
        <v>29</v>
      </c>
      <c r="E20" s="9" t="s">
        <v>30</v>
      </c>
      <c r="F20" s="23" t="s">
        <v>31</v>
      </c>
      <c r="G20" s="9" t="s">
        <v>32</v>
      </c>
      <c r="H20" s="11"/>
    </row>
    <row r="21" spans="1:8" ht="16.5" customHeight="1" x14ac:dyDescent="0.3">
      <c r="A21" s="3"/>
      <c r="B21" s="7">
        <f t="array" ref="B21:H21">Dias+15+DATE(CalendárioAno2,CaléndárioMês2Opção,1)-WEEKDAY(DATE(CalendárioAno2,CaléndárioMês2Opção,1),DiaDaSemanaOpção)</f>
        <v>46096</v>
      </c>
      <c r="C21" s="7">
        <v>46097</v>
      </c>
      <c r="D21" s="7">
        <v>46098</v>
      </c>
      <c r="E21" s="7">
        <v>46099</v>
      </c>
      <c r="F21" s="7">
        <v>46100</v>
      </c>
      <c r="G21" s="7">
        <v>46101</v>
      </c>
      <c r="H21" s="8">
        <v>46102</v>
      </c>
    </row>
    <row r="22" spans="1:8" ht="165" customHeight="1" x14ac:dyDescent="0.3">
      <c r="A22" s="3"/>
      <c r="B22" s="9"/>
      <c r="C22" s="9" t="s">
        <v>33</v>
      </c>
      <c r="D22" s="9" t="s">
        <v>34</v>
      </c>
      <c r="E22" s="9" t="s">
        <v>35</v>
      </c>
      <c r="F22" s="18" t="s">
        <v>36</v>
      </c>
      <c r="G22" s="18" t="s">
        <v>37</v>
      </c>
      <c r="H22" s="11"/>
    </row>
    <row r="23" spans="1:8" ht="16.5" customHeight="1" x14ac:dyDescent="0.3">
      <c r="A23" s="3"/>
      <c r="B23" s="7">
        <f t="array" ref="B23:H23">Dias+22+DATE(CalendárioAno2,CaléndárioMês2Opção,1)-WEEKDAY(DATE(CalendárioAno2,CaléndárioMês2Opção,1),DiaDaSemanaOpção)</f>
        <v>46103</v>
      </c>
      <c r="C23" s="15">
        <v>46104</v>
      </c>
      <c r="D23" s="15">
        <v>46105</v>
      </c>
      <c r="E23" s="15">
        <v>46106</v>
      </c>
      <c r="F23" s="15">
        <v>46107</v>
      </c>
      <c r="G23" s="15">
        <v>46108</v>
      </c>
      <c r="H23" s="8">
        <v>46109</v>
      </c>
    </row>
    <row r="24" spans="1:8" ht="206.25" customHeight="1" x14ac:dyDescent="0.3">
      <c r="A24" s="3"/>
      <c r="B24" s="9"/>
      <c r="C24" s="9" t="s">
        <v>38</v>
      </c>
      <c r="D24" s="12" t="s">
        <v>39</v>
      </c>
      <c r="E24" s="12" t="s">
        <v>40</v>
      </c>
      <c r="F24" s="24" t="s">
        <v>41</v>
      </c>
      <c r="G24" s="24" t="s">
        <v>42</v>
      </c>
      <c r="H24" s="11"/>
    </row>
    <row r="25" spans="1:8" ht="16.5" customHeight="1" x14ac:dyDescent="0.3">
      <c r="A25" s="3"/>
      <c r="B25" s="7">
        <f t="array" ref="B25:H25">Dias+29+DATE(CalendárioAno2,CaléndárioMês2Opção,1)-WEEKDAY(DATE(CalendárioAno2,CaléndárioMês2Opção,1),DiaDaSemanaOpção)</f>
        <v>46110</v>
      </c>
      <c r="C25" s="7">
        <v>46111</v>
      </c>
      <c r="D25" s="7">
        <v>46112</v>
      </c>
      <c r="E25" s="7">
        <v>46113</v>
      </c>
      <c r="F25" s="7">
        <v>46114</v>
      </c>
      <c r="G25" s="7">
        <v>46115</v>
      </c>
      <c r="H25" s="8">
        <v>46116</v>
      </c>
    </row>
    <row r="26" spans="1:8" ht="78" customHeight="1" x14ac:dyDescent="0.3">
      <c r="A26" s="3"/>
      <c r="B26" s="12"/>
      <c r="C26" s="12" t="s">
        <v>43</v>
      </c>
      <c r="D26" s="12" t="s">
        <v>44</v>
      </c>
      <c r="E26" s="12"/>
      <c r="F26" s="12"/>
      <c r="G26" s="12"/>
      <c r="H26" s="25"/>
    </row>
    <row r="27" spans="1:8" ht="16.5" customHeight="1" x14ac:dyDescent="0.3">
      <c r="A27" s="3"/>
      <c r="B27" s="7">
        <f t="array" ref="B27:C27">Dias+36+DATE(CalendárioAno2,CaléndárioMês2Opção,1)-WEEKDAY(DATE(CalendárioAno2,CaléndárioMês2Opção,1),DiaDaSemanaOpção)</f>
        <v>46117</v>
      </c>
      <c r="C27" s="7">
        <v>46118</v>
      </c>
      <c r="D27" s="88"/>
      <c r="E27" s="89"/>
      <c r="F27" s="89"/>
      <c r="G27" s="89"/>
      <c r="H27" s="89"/>
    </row>
    <row r="28" spans="1:8" ht="63.75" customHeight="1" x14ac:dyDescent="0.3">
      <c r="A28" s="3"/>
      <c r="B28" s="9"/>
      <c r="C28" s="9"/>
      <c r="D28" s="90"/>
      <c r="E28" s="81"/>
      <c r="F28" s="81"/>
      <c r="G28" s="81"/>
      <c r="H28" s="81"/>
    </row>
    <row r="29" spans="1:8" ht="54" customHeight="1" x14ac:dyDescent="0.55000000000000004">
      <c r="A29" s="1"/>
      <c r="B29" s="2">
        <f>YEAR(DATE(CalendárioAno2,CaléndárioMês2Opção+1,1))</f>
        <v>2026</v>
      </c>
      <c r="C29" s="80" t="str">
        <f>TEXT(DATE(CalendárioAno2,CaléndárioMês2Opção+1,1),"mmmm")</f>
        <v>abril</v>
      </c>
      <c r="D29" s="81"/>
      <c r="E29" s="81"/>
      <c r="F29" s="1"/>
      <c r="G29" s="1"/>
      <c r="H29" s="1"/>
    </row>
    <row r="30" spans="1:8" ht="14.25" customHeight="1" x14ac:dyDescent="0.3">
      <c r="A30" s="4"/>
      <c r="B30" s="5" t="str">
        <f t="shared" ref="B30:H30" si="2">UPPER(TEXT(B31,"dddd"))</f>
        <v>DOMINGO</v>
      </c>
      <c r="C30" s="6" t="str">
        <f t="shared" si="2"/>
        <v>SEGUNDA-FEIRA</v>
      </c>
      <c r="D30" s="5" t="str">
        <f t="shared" si="2"/>
        <v>TERÇA-FEIRA</v>
      </c>
      <c r="E30" s="6" t="str">
        <f t="shared" si="2"/>
        <v>QUARTA-FEIRA</v>
      </c>
      <c r="F30" s="5" t="str">
        <f t="shared" si="2"/>
        <v>QUINTA-FEIRA</v>
      </c>
      <c r="G30" s="6" t="str">
        <f t="shared" si="2"/>
        <v>SEXTA-FEIRA</v>
      </c>
      <c r="H30" s="5" t="str">
        <f t="shared" si="2"/>
        <v>SÁBADO</v>
      </c>
    </row>
    <row r="31" spans="1:8" ht="16.5" customHeight="1" x14ac:dyDescent="0.3">
      <c r="A31" s="3"/>
      <c r="B31" s="7">
        <f t="array" ref="B31:H31">Dias+1+DATE(CalendárioAno3,CaléndárioMês3Opção,1)-WEEKDAY(DATE(CalendárioAno3,CaléndárioMês3Opção,1),DiaDaSemanaOpção)</f>
        <v>46110</v>
      </c>
      <c r="C31" s="7">
        <v>46111</v>
      </c>
      <c r="D31" s="7">
        <v>46112</v>
      </c>
      <c r="E31" s="7">
        <v>46113</v>
      </c>
      <c r="F31" s="7">
        <v>46114</v>
      </c>
      <c r="G31" s="7">
        <v>46115</v>
      </c>
      <c r="H31" s="8">
        <v>46116</v>
      </c>
    </row>
    <row r="32" spans="1:8" ht="126" customHeight="1" x14ac:dyDescent="0.3">
      <c r="A32" s="3"/>
      <c r="B32" s="9"/>
      <c r="C32" s="9"/>
      <c r="D32" s="9"/>
      <c r="E32" s="18" t="s">
        <v>45</v>
      </c>
      <c r="F32" s="18" t="s">
        <v>46</v>
      </c>
      <c r="G32" s="26" t="s">
        <v>47</v>
      </c>
      <c r="H32" s="11"/>
    </row>
    <row r="33" spans="1:8" ht="16.5" customHeight="1" x14ac:dyDescent="0.3">
      <c r="A33" s="3"/>
      <c r="B33" s="7">
        <f t="array" ref="B33:H33">Dias+8+DATE(CalendárioAno3,CaléndárioMês3Opção,1)-WEEKDAY(DATE(CalendárioAno3,CaléndárioMês3Opção,1),DiaDaSemanaOpção)</f>
        <v>46117</v>
      </c>
      <c r="C33" s="7">
        <v>46118</v>
      </c>
      <c r="D33" s="7">
        <v>46119</v>
      </c>
      <c r="E33" s="7">
        <v>46120</v>
      </c>
      <c r="F33" s="7">
        <v>46121</v>
      </c>
      <c r="G33" s="7">
        <v>46122</v>
      </c>
      <c r="H33" s="8">
        <v>46123</v>
      </c>
    </row>
    <row r="34" spans="1:8" ht="91.5" customHeight="1" x14ac:dyDescent="0.3">
      <c r="A34" s="3"/>
      <c r="B34" s="9"/>
      <c r="C34" s="9" t="s">
        <v>48</v>
      </c>
      <c r="D34" s="27" t="s">
        <v>49</v>
      </c>
      <c r="E34" s="28" t="s">
        <v>50</v>
      </c>
      <c r="F34" s="28" t="s">
        <v>51</v>
      </c>
      <c r="G34" s="29" t="s">
        <v>52</v>
      </c>
      <c r="H34" s="11"/>
    </row>
    <row r="35" spans="1:8" ht="16.5" customHeight="1" x14ac:dyDescent="0.3">
      <c r="A35" s="3"/>
      <c r="B35" s="7">
        <f t="array" ref="B35:H35">Dias+15+DATE(CalendárioAno3,CaléndárioMês3Opção,1)-WEEKDAY(DATE(CalendárioAno3,CaléndárioMês3Opção,1),DiaDaSemanaOpção)</f>
        <v>46124</v>
      </c>
      <c r="C35" s="7">
        <v>46125</v>
      </c>
      <c r="D35" s="7">
        <v>46126</v>
      </c>
      <c r="E35" s="7">
        <v>46127</v>
      </c>
      <c r="F35" s="7">
        <v>46128</v>
      </c>
      <c r="G35" s="7">
        <v>46129</v>
      </c>
      <c r="H35" s="8">
        <v>46130</v>
      </c>
    </row>
    <row r="36" spans="1:8" ht="189.75" customHeight="1" x14ac:dyDescent="0.3">
      <c r="A36" s="3"/>
      <c r="B36" s="9"/>
      <c r="C36" s="30" t="s">
        <v>53</v>
      </c>
      <c r="D36" s="30"/>
      <c r="E36" s="31" t="s">
        <v>54</v>
      </c>
      <c r="F36" s="32" t="s">
        <v>55</v>
      </c>
      <c r="G36" s="32" t="s">
        <v>56</v>
      </c>
      <c r="H36" s="11"/>
    </row>
    <row r="37" spans="1:8" ht="16.5" customHeight="1" x14ac:dyDescent="0.3">
      <c r="A37" s="3"/>
      <c r="B37" s="7">
        <f t="array" ref="B37:H37">Dias+22+DATE(CalendárioAno3,CaléndárioMês3Opção,1)-WEEKDAY(DATE(CalendárioAno3,CaléndárioMês3Opção,1),DiaDaSemanaOpção)</f>
        <v>46131</v>
      </c>
      <c r="C37" s="7">
        <v>46132</v>
      </c>
      <c r="D37" s="7">
        <v>46133</v>
      </c>
      <c r="E37" s="7">
        <v>46134</v>
      </c>
      <c r="F37" s="15">
        <v>46135</v>
      </c>
      <c r="G37" s="15">
        <v>46136</v>
      </c>
      <c r="H37" s="8">
        <v>46137</v>
      </c>
    </row>
    <row r="38" spans="1:8" ht="139.5" customHeight="1" x14ac:dyDescent="0.3">
      <c r="A38" s="3"/>
      <c r="B38" s="9"/>
      <c r="C38" s="33" t="s">
        <v>57</v>
      </c>
      <c r="D38" s="33" t="s">
        <v>47</v>
      </c>
      <c r="E38" s="34" t="s">
        <v>58</v>
      </c>
      <c r="F38" s="35" t="s">
        <v>59</v>
      </c>
      <c r="G38" s="35" t="s">
        <v>60</v>
      </c>
      <c r="H38" s="11"/>
    </row>
    <row r="39" spans="1:8" ht="16.5" customHeight="1" x14ac:dyDescent="0.3">
      <c r="A39" s="3"/>
      <c r="B39" s="7">
        <f t="array" ref="B39:H39">Dias+29+DATE(CalendárioAno3,CaléndárioMês3Opção,1)-WEEKDAY(DATE(CalendárioAno3,CaléndárioMês3Opção,1),DiaDaSemanaOpção)</f>
        <v>46138</v>
      </c>
      <c r="C39" s="7">
        <v>46139</v>
      </c>
      <c r="D39" s="7">
        <v>46140</v>
      </c>
      <c r="E39" s="7">
        <v>46141</v>
      </c>
      <c r="F39" s="15">
        <v>46142</v>
      </c>
      <c r="G39" s="15">
        <v>46143</v>
      </c>
      <c r="H39" s="8">
        <v>46144</v>
      </c>
    </row>
    <row r="40" spans="1:8" ht="57" customHeight="1" x14ac:dyDescent="0.3">
      <c r="A40" s="3"/>
      <c r="B40" s="9"/>
      <c r="C40" s="36" t="s">
        <v>61</v>
      </c>
      <c r="D40" s="32"/>
      <c r="E40" s="35" t="s">
        <v>62</v>
      </c>
      <c r="F40" s="35" t="s">
        <v>63</v>
      </c>
      <c r="G40" s="37"/>
      <c r="H40" s="25"/>
    </row>
    <row r="41" spans="1:8" ht="16.5" customHeight="1" x14ac:dyDescent="0.3">
      <c r="A41" s="3"/>
      <c r="B41" s="7">
        <f t="array" ref="B41:C41">Dias+36+DATE(CalendárioAno3,CaléndárioMês3Opção,1)-WEEKDAY(DATE(CalendárioAno3,CaléndárioMês3Opção,1),DiaDaSemanaOpção)</f>
        <v>46145</v>
      </c>
      <c r="C41" s="7">
        <v>46146</v>
      </c>
      <c r="D41" s="88" t="s">
        <v>22</v>
      </c>
      <c r="E41" s="89"/>
      <c r="F41" s="89"/>
      <c r="G41" s="89"/>
      <c r="H41" s="89"/>
    </row>
    <row r="42" spans="1:8" ht="63.75" customHeight="1" x14ac:dyDescent="0.3">
      <c r="A42" s="3"/>
      <c r="B42" s="9"/>
      <c r="C42" s="9"/>
      <c r="D42" s="90"/>
      <c r="E42" s="81"/>
      <c r="F42" s="81"/>
      <c r="G42" s="81"/>
      <c r="H42" s="81"/>
    </row>
    <row r="43" spans="1:8" ht="54" customHeight="1" x14ac:dyDescent="0.55000000000000004">
      <c r="A43" s="1"/>
      <c r="B43" s="2">
        <f>YEAR(DATE(CalendárioAno3,CaléndárioMês3Opção+1,1))</f>
        <v>2026</v>
      </c>
      <c r="C43" s="80" t="str">
        <f>TEXT(DATE(CalendárioAno3,CaléndárioMês3Opção+1,1),"mmmm")</f>
        <v>maio</v>
      </c>
      <c r="D43" s="81"/>
      <c r="E43" s="81"/>
      <c r="F43" s="1"/>
      <c r="G43" s="1"/>
      <c r="H43" s="1"/>
    </row>
    <row r="44" spans="1:8" ht="14.25" customHeight="1" x14ac:dyDescent="0.3">
      <c r="A44" s="4"/>
      <c r="B44" s="5" t="str">
        <f t="shared" ref="B44:H44" si="3">UPPER(TEXT(B45,"dddd"))</f>
        <v>DOMINGO</v>
      </c>
      <c r="C44" s="6" t="str">
        <f t="shared" si="3"/>
        <v>SEGUNDA-FEIRA</v>
      </c>
      <c r="D44" s="5" t="str">
        <f t="shared" si="3"/>
        <v>TERÇA-FEIRA</v>
      </c>
      <c r="E44" s="6" t="str">
        <f t="shared" si="3"/>
        <v>QUARTA-FEIRA</v>
      </c>
      <c r="F44" s="5" t="str">
        <f t="shared" si="3"/>
        <v>QUINTA-FEIRA</v>
      </c>
      <c r="G44" s="6" t="str">
        <f t="shared" si="3"/>
        <v>SEXTA-FEIRA</v>
      </c>
      <c r="H44" s="5" t="str">
        <f t="shared" si="3"/>
        <v>SÁBADO</v>
      </c>
    </row>
    <row r="45" spans="1:8" ht="16.5" customHeight="1" x14ac:dyDescent="0.3">
      <c r="A45" s="3"/>
      <c r="B45" s="7">
        <f t="array" ref="B45:H45">Dias+1+DATE(CalendárioAno4,CaléndárioMês4Opção,1)-WEEKDAY(DATE(CalendárioAno4,CaléndárioMês4Opção,1),DiaDaSemanaOpção)</f>
        <v>46138</v>
      </c>
      <c r="C45" s="7">
        <v>46139</v>
      </c>
      <c r="D45" s="7">
        <v>46140</v>
      </c>
      <c r="E45" s="7">
        <v>46141</v>
      </c>
      <c r="F45" s="7">
        <v>46142</v>
      </c>
      <c r="G45" s="7">
        <v>46143</v>
      </c>
      <c r="H45" s="8">
        <v>46144</v>
      </c>
    </row>
    <row r="46" spans="1:8" ht="56.25" customHeight="1" x14ac:dyDescent="0.3">
      <c r="A46" s="3"/>
      <c r="B46" s="9"/>
      <c r="C46" s="12" t="s">
        <v>64</v>
      </c>
      <c r="D46" s="9"/>
      <c r="E46" s="38" t="s">
        <v>65</v>
      </c>
      <c r="F46" s="18" t="s">
        <v>66</v>
      </c>
      <c r="G46" s="17" t="s">
        <v>47</v>
      </c>
      <c r="H46" s="11"/>
    </row>
    <row r="47" spans="1:8" ht="16.5" customHeight="1" x14ac:dyDescent="0.3">
      <c r="A47" s="3"/>
      <c r="B47" s="7">
        <f t="array" ref="B47:H47">Dias+8+DATE(CalendárioAno4,CaléndárioMês4Opção,1)-WEEKDAY(DATE(CalendárioAno4,CaléndárioMês4Opção,1),DiaDaSemanaOpção)</f>
        <v>46145</v>
      </c>
      <c r="C47" s="15">
        <v>46146</v>
      </c>
      <c r="D47" s="15">
        <v>46147</v>
      </c>
      <c r="E47" s="15">
        <v>46148</v>
      </c>
      <c r="F47" s="15">
        <v>46149</v>
      </c>
      <c r="G47" s="15">
        <v>46150</v>
      </c>
      <c r="H47" s="8">
        <v>46151</v>
      </c>
    </row>
    <row r="48" spans="1:8" ht="225" customHeight="1" x14ac:dyDescent="0.3">
      <c r="A48" s="3"/>
      <c r="B48" s="9"/>
      <c r="C48" s="12"/>
      <c r="D48" s="12" t="s">
        <v>67</v>
      </c>
      <c r="E48" s="39" t="s">
        <v>68</v>
      </c>
      <c r="F48" s="32" t="s">
        <v>69</v>
      </c>
      <c r="G48" s="32" t="s">
        <v>70</v>
      </c>
      <c r="H48" s="11"/>
    </row>
    <row r="49" spans="1:8" ht="16.5" customHeight="1" x14ac:dyDescent="0.3">
      <c r="A49" s="3"/>
      <c r="B49" s="7">
        <f t="array" ref="B49:H49">Dias+15+DATE(CalendárioAno4,CaléndárioMês4Opção,1)-WEEKDAY(DATE(CalendárioAno4,CaléndárioMês4Opção,1),DiaDaSemanaOpção)</f>
        <v>46152</v>
      </c>
      <c r="C49" s="15">
        <v>46153</v>
      </c>
      <c r="D49" s="15">
        <v>46154</v>
      </c>
      <c r="E49" s="15">
        <v>46155</v>
      </c>
      <c r="F49" s="15">
        <v>46156</v>
      </c>
      <c r="G49" s="15">
        <v>46157</v>
      </c>
      <c r="H49" s="8">
        <v>46158</v>
      </c>
    </row>
    <row r="50" spans="1:8" ht="141" customHeight="1" x14ac:dyDescent="0.3">
      <c r="A50" s="3"/>
      <c r="B50" s="9"/>
      <c r="C50" s="12" t="s">
        <v>71</v>
      </c>
      <c r="D50" s="32" t="s">
        <v>72</v>
      </c>
      <c r="E50" s="40" t="s">
        <v>73</v>
      </c>
      <c r="F50" s="24" t="s">
        <v>74</v>
      </c>
      <c r="G50" s="32" t="s">
        <v>75</v>
      </c>
      <c r="H50" s="11"/>
    </row>
    <row r="51" spans="1:8" ht="16.5" customHeight="1" x14ac:dyDescent="0.3">
      <c r="A51" s="3"/>
      <c r="B51" s="7">
        <f t="array" ref="B51:H51">Dias+22+DATE(CalendárioAno4,CaléndárioMês4Opção,1)-WEEKDAY(DATE(CalendárioAno4,CaléndárioMês4Opção,1),DiaDaSemanaOpção)</f>
        <v>46159</v>
      </c>
      <c r="C51" s="15">
        <v>46160</v>
      </c>
      <c r="D51" s="15">
        <v>46161</v>
      </c>
      <c r="E51" s="15">
        <v>46162</v>
      </c>
      <c r="F51" s="15">
        <v>46163</v>
      </c>
      <c r="G51" s="15">
        <v>46164</v>
      </c>
      <c r="H51" s="8">
        <v>46165</v>
      </c>
    </row>
    <row r="52" spans="1:8" ht="360" customHeight="1" x14ac:dyDescent="0.3">
      <c r="A52" s="3"/>
      <c r="B52" s="9"/>
      <c r="C52" s="12"/>
      <c r="D52" s="12" t="s">
        <v>76</v>
      </c>
      <c r="E52" s="41" t="s">
        <v>77</v>
      </c>
      <c r="F52" s="42" t="s">
        <v>78</v>
      </c>
      <c r="G52" s="43" t="s">
        <v>79</v>
      </c>
      <c r="H52" s="11"/>
    </row>
    <row r="53" spans="1:8" ht="16.5" customHeight="1" x14ac:dyDescent="0.3">
      <c r="A53" s="3"/>
      <c r="B53" s="7">
        <f t="array" ref="B53:H53">Dias+29+DATE(CalendárioAno4,CaléndárioMês4Opção,1)-WEEKDAY(DATE(CalendárioAno4,CaléndárioMês4Opção,1),DiaDaSemanaOpção)</f>
        <v>46166</v>
      </c>
      <c r="C53" s="7">
        <v>46167</v>
      </c>
      <c r="D53" s="7">
        <v>46168</v>
      </c>
      <c r="E53" s="7">
        <v>46169</v>
      </c>
      <c r="F53" s="7">
        <v>46170</v>
      </c>
      <c r="G53" s="7">
        <v>46171</v>
      </c>
      <c r="H53" s="8">
        <v>46172</v>
      </c>
    </row>
    <row r="54" spans="1:8" ht="159.75" customHeight="1" x14ac:dyDescent="0.3">
      <c r="A54" s="3"/>
      <c r="B54" s="9"/>
      <c r="C54" s="44" t="s">
        <v>80</v>
      </c>
      <c r="D54" s="9" t="s">
        <v>81</v>
      </c>
      <c r="E54" s="39" t="s">
        <v>82</v>
      </c>
      <c r="F54" s="10" t="s">
        <v>83</v>
      </c>
      <c r="G54" s="27" t="s">
        <v>84</v>
      </c>
      <c r="H54" s="25"/>
    </row>
    <row r="55" spans="1:8" ht="16.5" customHeight="1" x14ac:dyDescent="0.3">
      <c r="A55" s="3"/>
      <c r="B55" s="7">
        <f t="array" ref="B55:C55">Dias+36+DATE(CalendárioAno4,CaléndárioMês4Opção,1)-WEEKDAY(DATE(CalendárioAno4,CaléndárioMês4Opção,1),DiaDaSemanaOpção)</f>
        <v>46173</v>
      </c>
      <c r="C55" s="7">
        <v>46174</v>
      </c>
      <c r="D55" s="88" t="s">
        <v>22</v>
      </c>
      <c r="E55" s="89"/>
      <c r="F55" s="89"/>
      <c r="G55" s="89"/>
      <c r="H55" s="89"/>
    </row>
    <row r="56" spans="1:8" ht="63.75" customHeight="1" x14ac:dyDescent="0.3">
      <c r="A56" s="3"/>
      <c r="B56" s="9"/>
      <c r="C56" s="9"/>
      <c r="D56" s="90"/>
      <c r="E56" s="81"/>
      <c r="F56" s="81"/>
      <c r="G56" s="81"/>
      <c r="H56" s="81"/>
    </row>
    <row r="57" spans="1:8" ht="54" customHeight="1" x14ac:dyDescent="0.55000000000000004">
      <c r="A57" s="1"/>
      <c r="B57" s="2">
        <f>YEAR(DATE(CalendárioAno4,CaléndárioMês4Opção+1,1))</f>
        <v>2026</v>
      </c>
      <c r="C57" s="80" t="str">
        <f>TEXT(DATE(CalendárioAno4,CaléndárioMês4Opção+1,1),"mmmm")</f>
        <v>junho</v>
      </c>
      <c r="D57" s="81"/>
      <c r="E57" s="81"/>
      <c r="F57" s="1"/>
      <c r="G57" s="1"/>
      <c r="H57" s="1"/>
    </row>
    <row r="58" spans="1:8" ht="14.25" customHeight="1" x14ac:dyDescent="0.3">
      <c r="A58" s="4"/>
      <c r="B58" s="5" t="str">
        <f t="shared" ref="B58:H58" si="4">UPPER(TEXT(B59,"dddd"))</f>
        <v>DOMINGO</v>
      </c>
      <c r="C58" s="6" t="str">
        <f t="shared" si="4"/>
        <v>SEGUNDA-FEIRA</v>
      </c>
      <c r="D58" s="5" t="str">
        <f t="shared" si="4"/>
        <v>TERÇA-FEIRA</v>
      </c>
      <c r="E58" s="6" t="str">
        <f t="shared" si="4"/>
        <v>QUARTA-FEIRA</v>
      </c>
      <c r="F58" s="5" t="str">
        <f t="shared" si="4"/>
        <v>QUINTA-FEIRA</v>
      </c>
      <c r="G58" s="6" t="str">
        <f t="shared" si="4"/>
        <v>SEXTA-FEIRA</v>
      </c>
      <c r="H58" s="5" t="str">
        <f t="shared" si="4"/>
        <v>SÁBADO</v>
      </c>
    </row>
    <row r="59" spans="1:8" ht="16.5" customHeight="1" x14ac:dyDescent="0.3">
      <c r="A59" s="3"/>
      <c r="B59" s="7">
        <f t="array" ref="B59:H59">Dias+1+DATE(CalendárioAno5,CaléndárioMês5Opção,1)-WEEKDAY(DATE(CalendárioAno5,CaléndárioMês5Opção,1),DiaDaSemanaOpção)</f>
        <v>46173</v>
      </c>
      <c r="C59" s="7">
        <v>46174</v>
      </c>
      <c r="D59" s="7">
        <v>46175</v>
      </c>
      <c r="E59" s="7">
        <v>46176</v>
      </c>
      <c r="F59" s="7">
        <v>46177</v>
      </c>
      <c r="G59" s="7">
        <v>46178</v>
      </c>
      <c r="H59" s="8">
        <v>46179</v>
      </c>
    </row>
    <row r="60" spans="1:8" ht="148.5" customHeight="1" x14ac:dyDescent="0.3">
      <c r="A60" s="3"/>
      <c r="B60" s="9"/>
      <c r="C60" s="32" t="s">
        <v>85</v>
      </c>
      <c r="D60" s="32" t="s">
        <v>86</v>
      </c>
      <c r="E60" s="28" t="s">
        <v>87</v>
      </c>
      <c r="F60" s="17" t="s">
        <v>47</v>
      </c>
      <c r="G60" s="17" t="s">
        <v>88</v>
      </c>
      <c r="H60" s="11"/>
    </row>
    <row r="61" spans="1:8" ht="16.5" customHeight="1" x14ac:dyDescent="0.3">
      <c r="A61" s="3"/>
      <c r="B61" s="7">
        <f t="array" ref="B61:H61">Dias+8+DATE(CalendárioAno5,CaléndárioMês5Opção,1)-WEEKDAY(DATE(CalendárioAno5,CaléndárioMês5Opção,1),DiaDaSemanaOpção)</f>
        <v>46180</v>
      </c>
      <c r="C61" s="7">
        <v>46181</v>
      </c>
      <c r="D61" s="7">
        <v>46182</v>
      </c>
      <c r="E61" s="7">
        <v>46183</v>
      </c>
      <c r="F61" s="7">
        <v>46184</v>
      </c>
      <c r="G61" s="7">
        <v>46185</v>
      </c>
      <c r="H61" s="8">
        <v>46186</v>
      </c>
    </row>
    <row r="62" spans="1:8" ht="56.25" customHeight="1" x14ac:dyDescent="0.3">
      <c r="A62" s="3"/>
      <c r="B62" s="9"/>
      <c r="C62" s="9"/>
      <c r="D62" s="9" t="s">
        <v>89</v>
      </c>
      <c r="E62" s="9"/>
      <c r="F62" s="12"/>
      <c r="G62" s="12"/>
      <c r="H62" s="11"/>
    </row>
    <row r="63" spans="1:8" ht="16.5" customHeight="1" x14ac:dyDescent="0.3">
      <c r="A63" s="3"/>
      <c r="B63" s="7">
        <f t="array" ref="B63:H63">Dias+15+DATE(CalendárioAno5,CaléndárioMês5Opção,1)-WEEKDAY(DATE(CalendárioAno5,CaléndárioMês5Opção,1),DiaDaSemanaOpção)</f>
        <v>46187</v>
      </c>
      <c r="C63" s="7">
        <v>46188</v>
      </c>
      <c r="D63" s="7">
        <v>46189</v>
      </c>
      <c r="E63" s="7">
        <v>46190</v>
      </c>
      <c r="F63" s="15">
        <v>46191</v>
      </c>
      <c r="G63" s="15">
        <v>46192</v>
      </c>
      <c r="H63" s="8">
        <v>46193</v>
      </c>
    </row>
    <row r="64" spans="1:8" ht="56.25" customHeight="1" x14ac:dyDescent="0.3">
      <c r="A64" s="3"/>
      <c r="B64" s="9"/>
      <c r="C64" s="12"/>
      <c r="D64" s="12" t="s">
        <v>89</v>
      </c>
      <c r="E64" s="12"/>
      <c r="F64" s="32" t="s">
        <v>90</v>
      </c>
      <c r="G64" s="32" t="s">
        <v>91</v>
      </c>
      <c r="H64" s="11"/>
    </row>
    <row r="65" spans="1:8" ht="16.5" customHeight="1" x14ac:dyDescent="0.3">
      <c r="A65" s="3"/>
      <c r="B65" s="7">
        <f t="array" ref="B65:H65">Dias+22+DATE(CalendárioAno5,CaléndárioMês5Opção,1)-WEEKDAY(DATE(CalendárioAno5,CaléndárioMês5Opção,1),DiaDaSemanaOpção)</f>
        <v>46194</v>
      </c>
      <c r="C65" s="7">
        <v>46195</v>
      </c>
      <c r="D65" s="7">
        <v>46196</v>
      </c>
      <c r="E65" s="7">
        <v>46197</v>
      </c>
      <c r="F65" s="7">
        <v>46198</v>
      </c>
      <c r="G65" s="7">
        <v>46199</v>
      </c>
      <c r="H65" s="8">
        <v>46200</v>
      </c>
    </row>
    <row r="66" spans="1:8" ht="87" customHeight="1" x14ac:dyDescent="0.3">
      <c r="A66" s="3"/>
      <c r="B66" s="9"/>
      <c r="C66" s="12"/>
      <c r="D66" s="12" t="s">
        <v>89</v>
      </c>
      <c r="E66" s="45" t="s">
        <v>92</v>
      </c>
      <c r="F66" s="12"/>
      <c r="G66" s="24" t="s">
        <v>93</v>
      </c>
      <c r="H66" s="11"/>
    </row>
    <row r="67" spans="1:8" ht="16.5" customHeight="1" x14ac:dyDescent="0.3">
      <c r="A67" s="3"/>
      <c r="B67" s="7">
        <f t="array" ref="B67:H67">Dias+29+DATE(CalendárioAno5,CaléndárioMês5Opção,1)-WEEKDAY(DATE(CalendárioAno5,CaléndárioMês5Opção,1),DiaDaSemanaOpção)</f>
        <v>46201</v>
      </c>
      <c r="C67" s="7">
        <v>46202</v>
      </c>
      <c r="D67" s="7">
        <v>46203</v>
      </c>
      <c r="E67" s="7">
        <v>46204</v>
      </c>
      <c r="F67" s="7">
        <v>46205</v>
      </c>
      <c r="G67" s="7">
        <v>46206</v>
      </c>
      <c r="H67" s="8">
        <v>46207</v>
      </c>
    </row>
    <row r="68" spans="1:8" ht="57" customHeight="1" x14ac:dyDescent="0.3">
      <c r="A68" s="3"/>
      <c r="B68" s="9"/>
      <c r="C68" s="9"/>
      <c r="D68" s="9" t="s">
        <v>89</v>
      </c>
      <c r="E68" s="9"/>
      <c r="F68" s="27"/>
      <c r="G68" s="27"/>
      <c r="H68" s="25"/>
    </row>
    <row r="69" spans="1:8" ht="16.5" customHeight="1" x14ac:dyDescent="0.3">
      <c r="A69" s="3"/>
      <c r="B69" s="7">
        <f t="array" ref="B69:C69">Dias+36+DATE(CalendárioAno5,CaléndárioMês5Opção,1)-WEEKDAY(DATE(CalendárioAno5,CaléndárioMês5Opção,1),DiaDaSemanaOpção)</f>
        <v>46208</v>
      </c>
      <c r="C69" s="7">
        <v>46209</v>
      </c>
      <c r="D69" s="88" t="s">
        <v>22</v>
      </c>
      <c r="E69" s="89"/>
      <c r="F69" s="89"/>
      <c r="G69" s="89"/>
      <c r="H69" s="89"/>
    </row>
    <row r="70" spans="1:8" ht="63.75" customHeight="1" x14ac:dyDescent="0.3">
      <c r="A70" s="3"/>
      <c r="B70" s="9"/>
      <c r="C70" s="9"/>
      <c r="D70" s="90"/>
      <c r="E70" s="81"/>
      <c r="F70" s="81"/>
      <c r="G70" s="81"/>
      <c r="H70" s="81"/>
    </row>
    <row r="71" spans="1:8" ht="54" customHeight="1" x14ac:dyDescent="0.55000000000000004">
      <c r="A71" s="1"/>
      <c r="B71" s="2">
        <f>YEAR(DATE(CalendárioAno5,CaléndárioMês5Opção+1,1))</f>
        <v>2026</v>
      </c>
      <c r="C71" s="80" t="str">
        <f>TEXT(DATE(CalendárioAno5,CaléndárioMês5Opção+1,1),"mmmm")</f>
        <v>julho</v>
      </c>
      <c r="D71" s="81"/>
      <c r="E71" s="81"/>
      <c r="F71" s="1"/>
      <c r="G71" s="1"/>
      <c r="H71" s="1"/>
    </row>
    <row r="72" spans="1:8" ht="14.25" customHeight="1" x14ac:dyDescent="0.3">
      <c r="A72" s="4"/>
      <c r="B72" s="5" t="str">
        <f t="shared" ref="B72:H72" si="5">UPPER(TEXT(B73,"dddd"))</f>
        <v>DOMINGO</v>
      </c>
      <c r="C72" s="6" t="str">
        <f t="shared" si="5"/>
        <v>SEGUNDA-FEIRA</v>
      </c>
      <c r="D72" s="5" t="str">
        <f t="shared" si="5"/>
        <v>TERÇA-FEIRA</v>
      </c>
      <c r="E72" s="6" t="str">
        <f t="shared" si="5"/>
        <v>QUARTA-FEIRA</v>
      </c>
      <c r="F72" s="5" t="str">
        <f t="shared" si="5"/>
        <v>QUINTA-FEIRA</v>
      </c>
      <c r="G72" s="6" t="str">
        <f t="shared" si="5"/>
        <v>SEXTA-FEIRA</v>
      </c>
      <c r="H72" s="5" t="str">
        <f t="shared" si="5"/>
        <v>SÁBADO</v>
      </c>
    </row>
    <row r="73" spans="1:8" ht="16.5" customHeight="1" x14ac:dyDescent="0.3">
      <c r="A73" s="3"/>
      <c r="B73" s="7">
        <f t="array" ref="B73:H73">Dias+1+DATE(CalendárioAno6,CaléndárioMês6Opção,1)-WEEKDAY(DATE(CalendárioAno6,CaléndárioMês6Opção,1),DiaDaSemanaOpção)</f>
        <v>46201</v>
      </c>
      <c r="C73" s="7">
        <v>46202</v>
      </c>
      <c r="D73" s="7">
        <v>46203</v>
      </c>
      <c r="E73" s="7">
        <v>46204</v>
      </c>
      <c r="F73" s="7">
        <v>46205</v>
      </c>
      <c r="G73" s="7">
        <v>46206</v>
      </c>
      <c r="H73" s="8">
        <v>46207</v>
      </c>
    </row>
    <row r="74" spans="1:8" ht="123" customHeight="1" x14ac:dyDescent="0.3">
      <c r="A74" s="3"/>
      <c r="B74" s="9"/>
      <c r="C74" s="9"/>
      <c r="D74" s="9"/>
      <c r="E74" s="46" t="s">
        <v>94</v>
      </c>
      <c r="F74" s="32" t="s">
        <v>95</v>
      </c>
      <c r="G74" s="32" t="s">
        <v>95</v>
      </c>
      <c r="H74" s="11"/>
    </row>
    <row r="75" spans="1:8" ht="16.5" customHeight="1" x14ac:dyDescent="0.3">
      <c r="A75" s="3"/>
      <c r="B75" s="7">
        <f t="array" ref="B75:H75">Dias+8+DATE(CalendárioAno6,CaléndárioMês6Opção,1)-WEEKDAY(DATE(CalendárioAno6,CaléndárioMês6Opção,1),DiaDaSemanaOpção)</f>
        <v>46208</v>
      </c>
      <c r="C75" s="15">
        <v>46209</v>
      </c>
      <c r="D75" s="15">
        <v>46210</v>
      </c>
      <c r="E75" s="15">
        <v>46211</v>
      </c>
      <c r="F75" s="15">
        <v>46212</v>
      </c>
      <c r="G75" s="15">
        <v>46213</v>
      </c>
      <c r="H75" s="16">
        <v>46214</v>
      </c>
    </row>
    <row r="76" spans="1:8" ht="56.25" customHeight="1" x14ac:dyDescent="0.3">
      <c r="A76" s="3"/>
      <c r="B76" s="9"/>
      <c r="C76" s="12"/>
      <c r="D76" s="12" t="s">
        <v>96</v>
      </c>
      <c r="E76" s="12" t="s">
        <v>96</v>
      </c>
      <c r="F76" s="12" t="s">
        <v>96</v>
      </c>
      <c r="G76" s="12" t="s">
        <v>96</v>
      </c>
      <c r="H76" s="19"/>
    </row>
    <row r="77" spans="1:8" ht="16.5" customHeight="1" x14ac:dyDescent="0.3">
      <c r="A77" s="3"/>
      <c r="B77" s="7">
        <f t="array" ref="B77:H77">Dias+15+DATE(CalendárioAno6,CaléndárioMês6Opção,1)-WEEKDAY(DATE(CalendárioAno6,CaléndárioMês6Opção,1),DiaDaSemanaOpção)</f>
        <v>46215</v>
      </c>
      <c r="C77" s="15">
        <v>46216</v>
      </c>
      <c r="D77" s="15">
        <v>46217</v>
      </c>
      <c r="E77" s="15">
        <v>46218</v>
      </c>
      <c r="F77" s="15">
        <v>46219</v>
      </c>
      <c r="G77" s="15">
        <v>46220</v>
      </c>
      <c r="H77" s="8">
        <v>46221</v>
      </c>
    </row>
    <row r="78" spans="1:8" ht="56.25" customHeight="1" x14ac:dyDescent="0.3">
      <c r="A78" s="3"/>
      <c r="B78" s="9"/>
      <c r="C78" s="12" t="s">
        <v>97</v>
      </c>
      <c r="D78" s="12" t="s">
        <v>97</v>
      </c>
      <c r="E78" s="12" t="s">
        <v>97</v>
      </c>
      <c r="F78" s="32" t="s">
        <v>98</v>
      </c>
      <c r="G78" s="32" t="s">
        <v>99</v>
      </c>
      <c r="H78" s="11"/>
    </row>
    <row r="79" spans="1:8" ht="16.5" customHeight="1" x14ac:dyDescent="0.3">
      <c r="A79" s="3"/>
      <c r="B79" s="7">
        <f t="array" ref="B79:H79">Dias+22+DATE(CalendárioAno6,CaléndárioMês6Opção,1)-WEEKDAY(DATE(CalendárioAno6,CaléndárioMês6Opção,1),DiaDaSemanaOpção)</f>
        <v>46222</v>
      </c>
      <c r="C79" s="7">
        <v>46223</v>
      </c>
      <c r="D79" s="7">
        <v>46224</v>
      </c>
      <c r="E79" s="7">
        <v>46225</v>
      </c>
      <c r="F79" s="7">
        <v>46226</v>
      </c>
      <c r="G79" s="7">
        <v>46227</v>
      </c>
      <c r="H79" s="8">
        <v>46228</v>
      </c>
    </row>
    <row r="80" spans="1:8" ht="56.25" customHeight="1" x14ac:dyDescent="0.3">
      <c r="A80" s="3"/>
      <c r="B80" s="9"/>
      <c r="C80" s="9" t="s">
        <v>97</v>
      </c>
      <c r="D80" s="9" t="s">
        <v>97</v>
      </c>
      <c r="E80" s="9" t="s">
        <v>97</v>
      </c>
      <c r="F80" s="9" t="s">
        <v>97</v>
      </c>
      <c r="G80" s="27" t="s">
        <v>100</v>
      </c>
      <c r="H80" s="11"/>
    </row>
    <row r="81" spans="1:8" ht="16.5" customHeight="1" x14ac:dyDescent="0.3">
      <c r="A81" s="3"/>
      <c r="B81" s="7">
        <f t="array" ref="B81:H81">Dias+29+DATE(CalendárioAno6,CaléndárioMês6Opção,1)-WEEKDAY(DATE(CalendárioAno6,CaléndárioMês6Opção,1),DiaDaSemanaOpção)</f>
        <v>46229</v>
      </c>
      <c r="C81" s="7">
        <v>46230</v>
      </c>
      <c r="D81" s="7">
        <v>46231</v>
      </c>
      <c r="E81" s="7">
        <v>46232</v>
      </c>
      <c r="F81" s="7">
        <v>46233</v>
      </c>
      <c r="G81" s="7">
        <v>46234</v>
      </c>
      <c r="H81" s="8">
        <v>46235</v>
      </c>
    </row>
    <row r="82" spans="1:8" ht="108.75" customHeight="1" x14ac:dyDescent="0.3">
      <c r="A82" s="3"/>
      <c r="B82" s="9"/>
      <c r="C82" s="9" t="s">
        <v>97</v>
      </c>
      <c r="D82" s="9" t="s">
        <v>96</v>
      </c>
      <c r="E82" s="9" t="s">
        <v>101</v>
      </c>
      <c r="F82" s="32" t="s">
        <v>102</v>
      </c>
      <c r="G82" s="32" t="s">
        <v>103</v>
      </c>
      <c r="H82" s="25"/>
    </row>
    <row r="83" spans="1:8" ht="16.5" customHeight="1" x14ac:dyDescent="0.3">
      <c r="A83" s="3"/>
      <c r="B83" s="7">
        <f t="array" ref="B83:C83">Dias+36+DATE(CalendárioAno6,CaléndárioMês6Opção,1)-WEEKDAY(DATE(CalendárioAno6,CaléndárioMês6Opção,1),DiaDaSemanaOpção)</f>
        <v>46236</v>
      </c>
      <c r="C83" s="7">
        <v>46237</v>
      </c>
      <c r="D83" s="88" t="s">
        <v>22</v>
      </c>
      <c r="E83" s="89"/>
      <c r="F83" s="89"/>
      <c r="G83" s="89"/>
      <c r="H83" s="89"/>
    </row>
    <row r="84" spans="1:8" ht="63.75" customHeight="1" x14ac:dyDescent="0.3">
      <c r="A84" s="3"/>
      <c r="B84" s="9"/>
      <c r="C84" s="9"/>
      <c r="D84" s="90"/>
      <c r="E84" s="81"/>
      <c r="F84" s="81"/>
      <c r="G84" s="81"/>
      <c r="H84" s="81"/>
    </row>
    <row r="85" spans="1:8" ht="54" customHeight="1" x14ac:dyDescent="0.55000000000000004">
      <c r="A85" s="1"/>
      <c r="B85" s="2">
        <f>YEAR(DATE(CalendárioAno6,CaléndárioMês6Opção+1,1))</f>
        <v>2026</v>
      </c>
      <c r="C85" s="80" t="str">
        <f>TEXT(DATE(CalendárioAno6,CaléndárioMês6Opção+1,1),"mmmm")</f>
        <v>agosto</v>
      </c>
      <c r="D85" s="81"/>
      <c r="E85" s="81"/>
      <c r="F85" s="1"/>
      <c r="G85" s="1"/>
      <c r="H85" s="1"/>
    </row>
    <row r="86" spans="1:8" ht="14.25" customHeight="1" x14ac:dyDescent="0.3">
      <c r="A86" s="4"/>
      <c r="B86" s="5" t="str">
        <f t="shared" ref="B86:H86" si="6">UPPER(TEXT(B87,"dddd"))</f>
        <v>DOMINGO</v>
      </c>
      <c r="C86" s="6" t="str">
        <f t="shared" si="6"/>
        <v>SEGUNDA-FEIRA</v>
      </c>
      <c r="D86" s="5" t="str">
        <f t="shared" si="6"/>
        <v>TERÇA-FEIRA</v>
      </c>
      <c r="E86" s="6" t="str">
        <f t="shared" si="6"/>
        <v>QUARTA-FEIRA</v>
      </c>
      <c r="F86" s="5" t="str">
        <f t="shared" si="6"/>
        <v>QUINTA-FEIRA</v>
      </c>
      <c r="G86" s="6" t="str">
        <f t="shared" si="6"/>
        <v>SEXTA-FEIRA</v>
      </c>
      <c r="H86" s="5" t="str">
        <f t="shared" si="6"/>
        <v>SÁBADO</v>
      </c>
    </row>
    <row r="87" spans="1:8" ht="16.5" customHeight="1" x14ac:dyDescent="0.3">
      <c r="A87" s="3"/>
      <c r="B87" s="7">
        <f t="array" ref="B87:H87">Dias+1+DATE(CalendárioAno7,CaléndárioMês7Opção,1)-WEEKDAY(DATE(CalendárioAno7,CaléndárioMês7Opção,1),DiaDaSemanaOpção)</f>
        <v>46229</v>
      </c>
      <c r="C87" s="7">
        <v>46230</v>
      </c>
      <c r="D87" s="7">
        <v>46231</v>
      </c>
      <c r="E87" s="7">
        <v>46232</v>
      </c>
      <c r="F87" s="7">
        <v>46233</v>
      </c>
      <c r="G87" s="7">
        <v>46234</v>
      </c>
      <c r="H87" s="8">
        <v>46235</v>
      </c>
    </row>
    <row r="88" spans="1:8" ht="87" customHeight="1" x14ac:dyDescent="0.3">
      <c r="A88" s="3"/>
      <c r="B88" s="47"/>
      <c r="C88" s="47"/>
      <c r="D88" s="47"/>
      <c r="E88" s="47"/>
      <c r="F88" s="47"/>
      <c r="G88" s="48"/>
      <c r="H88" s="49">
        <v>1</v>
      </c>
    </row>
    <row r="89" spans="1:8" ht="53.25" customHeight="1" x14ac:dyDescent="0.3">
      <c r="A89" s="3"/>
      <c r="B89" s="50">
        <f t="array" ref="B89:H89">Dias+8+DATE(CalendárioAno7,CaléndárioMês7Opção,1)-WEEKDAY(DATE(CalendárioAno7,CaléndárioMês7Opção,1),DiaDaSemanaOpção)</f>
        <v>46236</v>
      </c>
      <c r="C89" s="50">
        <v>46237</v>
      </c>
      <c r="D89" s="50">
        <v>46238</v>
      </c>
      <c r="E89" s="50">
        <v>46239</v>
      </c>
      <c r="F89" s="50">
        <v>46240</v>
      </c>
      <c r="G89" s="50">
        <v>46241</v>
      </c>
      <c r="H89" s="51">
        <v>46242</v>
      </c>
    </row>
    <row r="90" spans="1:8" ht="89.25" customHeight="1" x14ac:dyDescent="0.3">
      <c r="A90" s="3"/>
      <c r="B90" s="52"/>
      <c r="C90" s="52" t="s">
        <v>96</v>
      </c>
      <c r="D90" s="52" t="s">
        <v>96</v>
      </c>
      <c r="E90" s="53" t="s">
        <v>104</v>
      </c>
      <c r="F90" s="54" t="s">
        <v>105</v>
      </c>
      <c r="G90" s="54" t="s">
        <v>105</v>
      </c>
      <c r="H90" s="11"/>
    </row>
    <row r="91" spans="1:8" ht="16.5" customHeight="1" x14ac:dyDescent="0.3">
      <c r="A91" s="3"/>
      <c r="B91" s="50">
        <f t="array" ref="B91:H91">Dias+15+DATE(CalendárioAno7,CaléndárioMês7Opção,1)-WEEKDAY(DATE(CalendárioAno7,CaléndárioMês7Opção,1),DiaDaSemanaOpção)</f>
        <v>46243</v>
      </c>
      <c r="C91" s="50">
        <v>46244</v>
      </c>
      <c r="D91" s="50">
        <v>46245</v>
      </c>
      <c r="E91" s="50">
        <v>46246</v>
      </c>
      <c r="F91" s="50">
        <v>46247</v>
      </c>
      <c r="G91" s="50">
        <v>46248</v>
      </c>
      <c r="H91" s="55">
        <v>46249</v>
      </c>
    </row>
    <row r="92" spans="1:8" ht="87.75" customHeight="1" x14ac:dyDescent="0.3">
      <c r="A92" s="3"/>
      <c r="B92" s="52"/>
      <c r="C92" s="52"/>
      <c r="D92" s="52"/>
      <c r="E92" s="56" t="s">
        <v>106</v>
      </c>
      <c r="F92" s="52"/>
      <c r="G92" s="57"/>
      <c r="H92" s="11"/>
    </row>
    <row r="93" spans="1:8" ht="16.5" customHeight="1" x14ac:dyDescent="0.3">
      <c r="A93" s="3"/>
      <c r="B93" s="50">
        <f t="array" ref="B93:H93">Dias+22+DATE(CalendárioAno7,CaléndárioMês7Opção,1)-WEEKDAY(DATE(CalendárioAno7,CaléndárioMês7Opção,1),DiaDaSemanaOpção)</f>
        <v>46250</v>
      </c>
      <c r="C93" s="50">
        <v>46251</v>
      </c>
      <c r="D93" s="50">
        <v>46252</v>
      </c>
      <c r="E93" s="50">
        <v>46253</v>
      </c>
      <c r="F93" s="50">
        <v>46254</v>
      </c>
      <c r="G93" s="50">
        <v>46255</v>
      </c>
      <c r="H93" s="55">
        <v>46256</v>
      </c>
    </row>
    <row r="94" spans="1:8" ht="276" customHeight="1" x14ac:dyDescent="0.3">
      <c r="A94" s="3"/>
      <c r="B94" s="52"/>
      <c r="C94" s="52"/>
      <c r="D94" s="52"/>
      <c r="E94" s="58" t="s">
        <v>107</v>
      </c>
      <c r="F94" s="54" t="s">
        <v>108</v>
      </c>
      <c r="G94" s="54" t="s">
        <v>109</v>
      </c>
      <c r="H94" s="11"/>
    </row>
    <row r="95" spans="1:8" ht="16.5" customHeight="1" x14ac:dyDescent="0.3">
      <c r="A95" s="3"/>
      <c r="B95" s="59">
        <f t="array" ref="B95:H95">Dias+29+DATE(CalendárioAno7,CaléndárioMês7Opção,1)-WEEKDAY(DATE(CalendárioAno7,CaléndárioMês7Opção,1),DiaDaSemanaOpção)</f>
        <v>46257</v>
      </c>
      <c r="C95" s="59">
        <v>46258</v>
      </c>
      <c r="D95" s="59">
        <v>46259</v>
      </c>
      <c r="E95" s="59">
        <v>46260</v>
      </c>
      <c r="F95" s="59">
        <v>46261</v>
      </c>
      <c r="G95" s="59">
        <v>46262</v>
      </c>
      <c r="H95" s="55">
        <v>46263</v>
      </c>
    </row>
    <row r="96" spans="1:8" ht="95.25" customHeight="1" x14ac:dyDescent="0.3">
      <c r="A96" s="3"/>
      <c r="B96" s="9"/>
      <c r="C96" s="27"/>
      <c r="D96" s="9"/>
      <c r="E96" s="9"/>
      <c r="F96" s="60"/>
      <c r="G96" s="27" t="s">
        <v>110</v>
      </c>
      <c r="H96" s="25"/>
    </row>
    <row r="97" spans="1:8" ht="16.5" customHeight="1" x14ac:dyDescent="0.3">
      <c r="A97" s="3"/>
      <c r="B97" s="7">
        <f t="array" ref="B97:C97">Dias+36+DATE(CalendárioAno7,CaléndárioMês7Opção,1)-WEEKDAY(DATE(CalendárioAno7,CaléndárioMês7Opção,1),DiaDaSemanaOpção)</f>
        <v>46264</v>
      </c>
      <c r="C97" s="7">
        <v>46265</v>
      </c>
      <c r="D97" s="88" t="s">
        <v>22</v>
      </c>
      <c r="E97" s="89"/>
      <c r="F97" s="89"/>
      <c r="G97" s="89"/>
      <c r="H97" s="89"/>
    </row>
    <row r="98" spans="1:8" ht="63.75" customHeight="1" x14ac:dyDescent="0.3">
      <c r="A98" s="3"/>
      <c r="B98" s="9"/>
      <c r="C98" s="9"/>
      <c r="D98" s="90" t="s">
        <v>111</v>
      </c>
      <c r="E98" s="81"/>
      <c r="F98" s="81"/>
      <c r="G98" s="81"/>
      <c r="H98" s="81"/>
    </row>
    <row r="99" spans="1:8" ht="54" customHeight="1" x14ac:dyDescent="0.55000000000000004">
      <c r="A99" s="1"/>
      <c r="B99" s="2">
        <f>YEAR(DATE(CalendárioAno7,CaléndárioMês7Opção+1,1))</f>
        <v>2026</v>
      </c>
      <c r="C99" s="80" t="str">
        <f>TEXT(DATE(CalendárioAno7,CaléndárioMês7Opção+1,1),"mmmm")</f>
        <v>setembro</v>
      </c>
      <c r="D99" s="81"/>
      <c r="E99" s="81"/>
      <c r="F99" s="1"/>
      <c r="G99" s="1"/>
      <c r="H99" s="1"/>
    </row>
    <row r="100" spans="1:8" ht="14.25" customHeight="1" x14ac:dyDescent="0.3">
      <c r="A100" s="4"/>
      <c r="B100" s="5" t="str">
        <f t="shared" ref="B100:H100" si="7">UPPER(TEXT(B101,"dddd"))</f>
        <v>DOMINGO</v>
      </c>
      <c r="C100" s="6" t="str">
        <f t="shared" si="7"/>
        <v>SEGUNDA-FEIRA</v>
      </c>
      <c r="D100" s="5" t="str">
        <f t="shared" si="7"/>
        <v>TERÇA-FEIRA</v>
      </c>
      <c r="E100" s="6" t="str">
        <f t="shared" si="7"/>
        <v>QUARTA-FEIRA</v>
      </c>
      <c r="F100" s="5" t="str">
        <f t="shared" si="7"/>
        <v>QUINTA-FEIRA</v>
      </c>
      <c r="G100" s="6" t="str">
        <f t="shared" si="7"/>
        <v>SEXTA-FEIRA</v>
      </c>
      <c r="H100" s="5" t="str">
        <f t="shared" si="7"/>
        <v>SÁBADO</v>
      </c>
    </row>
    <row r="101" spans="1:8" ht="70.5" customHeight="1" x14ac:dyDescent="0.3">
      <c r="A101" s="3"/>
      <c r="B101" s="61">
        <f t="array" ref="B101:H101">Dias+1+DATE(CalendárioAno8,CaléndárioMês8Opção,1)-WEEKDAY(DATE(CalendárioAno8,CaléndárioMês8Opção,1),DiaDaSemanaOpção)</f>
        <v>46264</v>
      </c>
      <c r="C101" s="61">
        <v>46265</v>
      </c>
      <c r="D101" s="61">
        <v>46266</v>
      </c>
      <c r="E101" s="61">
        <v>46267</v>
      </c>
      <c r="F101" s="61">
        <v>46268</v>
      </c>
      <c r="G101" s="61">
        <v>46269</v>
      </c>
      <c r="H101" s="62">
        <v>46270</v>
      </c>
    </row>
    <row r="102" spans="1:8" ht="312" customHeight="1" x14ac:dyDescent="0.3">
      <c r="A102" s="3"/>
      <c r="B102" s="9"/>
      <c r="C102" s="12"/>
      <c r="D102" s="24"/>
      <c r="E102" s="63" t="s">
        <v>112</v>
      </c>
      <c r="F102" s="18" t="s">
        <v>113</v>
      </c>
      <c r="G102" s="64" t="s">
        <v>113</v>
      </c>
      <c r="H102" s="65"/>
    </row>
    <row r="103" spans="1:8" ht="16.5" customHeight="1" x14ac:dyDescent="0.3">
      <c r="A103" s="3"/>
      <c r="B103" s="7">
        <f t="array" ref="B103:H103">Dias+8+DATE(CalendárioAno8,CaléndárioMês8Opção,1)-WEEKDAY(DATE(CalendárioAno8,CaléndárioMês8Opção,1),DiaDaSemanaOpção)</f>
        <v>46271</v>
      </c>
      <c r="C103" s="7">
        <v>46272</v>
      </c>
      <c r="D103" s="7">
        <v>46273</v>
      </c>
      <c r="E103" s="7">
        <v>46274</v>
      </c>
      <c r="F103" s="7">
        <v>46275</v>
      </c>
      <c r="G103" s="7">
        <v>46276</v>
      </c>
      <c r="H103" s="8">
        <v>46277</v>
      </c>
    </row>
    <row r="104" spans="1:8" ht="105.75" customHeight="1" x14ac:dyDescent="0.3">
      <c r="A104" s="3"/>
      <c r="B104" s="9"/>
      <c r="C104" s="66" t="s">
        <v>47</v>
      </c>
      <c r="D104" s="24"/>
      <c r="E104" s="24"/>
      <c r="F104" s="24"/>
      <c r="G104" s="18"/>
      <c r="H104" s="19"/>
    </row>
    <row r="105" spans="1:8" ht="16.5" customHeight="1" x14ac:dyDescent="0.3">
      <c r="A105" s="3"/>
      <c r="B105" s="15">
        <f t="array" ref="B105:H105">Dias+15+DATE(CalendárioAno8,CaléndárioMês8Opção,1)-WEEKDAY(DATE(CalendárioAno8,CaléndárioMês8Opção,1),DiaDaSemanaOpção)</f>
        <v>46278</v>
      </c>
      <c r="C105" s="15">
        <v>46279</v>
      </c>
      <c r="D105" s="15">
        <v>46280</v>
      </c>
      <c r="E105" s="15">
        <v>46281</v>
      </c>
      <c r="F105" s="15">
        <v>46282</v>
      </c>
      <c r="G105" s="15">
        <v>46283</v>
      </c>
      <c r="H105" s="8">
        <v>46284</v>
      </c>
    </row>
    <row r="106" spans="1:8" ht="253.5" customHeight="1" x14ac:dyDescent="0.3">
      <c r="A106" s="3"/>
      <c r="B106" s="9"/>
      <c r="C106" s="9"/>
      <c r="D106" s="9"/>
      <c r="E106" s="67" t="s">
        <v>114</v>
      </c>
      <c r="F106" s="18" t="s">
        <v>115</v>
      </c>
      <c r="G106" s="64" t="s">
        <v>116</v>
      </c>
      <c r="H106" s="11"/>
    </row>
    <row r="107" spans="1:8" ht="16.5" customHeight="1" x14ac:dyDescent="0.3">
      <c r="A107" s="3"/>
      <c r="B107" s="7">
        <f t="array" ref="B107:H107">Dias+22+DATE(CalendárioAno8,CaléndárioMês8Opção,1)-WEEKDAY(DATE(CalendárioAno8,CaléndárioMês8Opção,1),DiaDaSemanaOpção)</f>
        <v>46285</v>
      </c>
      <c r="C107" s="7">
        <v>46286</v>
      </c>
      <c r="D107" s="7">
        <v>46287</v>
      </c>
      <c r="E107" s="7">
        <v>46288</v>
      </c>
      <c r="F107" s="7">
        <v>46289</v>
      </c>
      <c r="G107" s="7">
        <v>46290</v>
      </c>
      <c r="H107" s="8">
        <v>46291</v>
      </c>
    </row>
    <row r="108" spans="1:8" ht="94.5" customHeight="1" x14ac:dyDescent="0.3">
      <c r="A108" s="3"/>
      <c r="B108" s="9"/>
      <c r="C108" s="38"/>
      <c r="D108" s="27"/>
      <c r="E108" s="27"/>
      <c r="F108" s="27"/>
      <c r="G108" s="27" t="s">
        <v>117</v>
      </c>
      <c r="H108" s="11"/>
    </row>
    <row r="109" spans="1:8" ht="16.5" customHeight="1" x14ac:dyDescent="0.3">
      <c r="A109" s="3"/>
      <c r="B109" s="7">
        <f t="array" ref="B109:H109">Dias+29+DATE(CalendárioAno8,CaléndárioMês8Opção,1)-WEEKDAY(DATE(CalendárioAno8,CaléndárioMês8Opção,1),DiaDaSemanaOpção)</f>
        <v>46292</v>
      </c>
      <c r="C109" s="7">
        <v>46293</v>
      </c>
      <c r="D109" s="7">
        <v>46294</v>
      </c>
      <c r="E109" s="7">
        <v>46295</v>
      </c>
      <c r="F109" s="7">
        <v>46296</v>
      </c>
      <c r="G109" s="7">
        <v>46297</v>
      </c>
      <c r="H109" s="8">
        <v>46298</v>
      </c>
    </row>
    <row r="110" spans="1:8" ht="148.5" customHeight="1" x14ac:dyDescent="0.3">
      <c r="A110" s="3"/>
      <c r="B110" s="9"/>
      <c r="C110" s="9"/>
      <c r="D110" s="10"/>
      <c r="E110" s="9"/>
      <c r="F110" s="38"/>
      <c r="G110" s="38"/>
      <c r="H110" s="25"/>
    </row>
    <row r="111" spans="1:8" ht="16.5" customHeight="1" x14ac:dyDescent="0.3">
      <c r="A111" s="3"/>
      <c r="B111" s="7">
        <f t="array" ref="B111:C111">Dias+36+DATE(CalendárioAno8,CaléndárioMês8Opção,1)-WEEKDAY(DATE(CalendárioAno8,CaléndárioMês8Opção,1),DiaDaSemanaOpção)</f>
        <v>46299</v>
      </c>
      <c r="C111" s="7">
        <v>46300</v>
      </c>
      <c r="D111" s="88" t="s">
        <v>22</v>
      </c>
      <c r="E111" s="89"/>
      <c r="F111" s="89"/>
      <c r="G111" s="89"/>
      <c r="H111" s="89"/>
    </row>
    <row r="112" spans="1:8" ht="63.75" customHeight="1" x14ac:dyDescent="0.3">
      <c r="A112" s="3"/>
      <c r="B112" s="9"/>
      <c r="C112" s="9"/>
      <c r="D112" s="90"/>
      <c r="E112" s="81"/>
      <c r="F112" s="81"/>
      <c r="G112" s="81"/>
      <c r="H112" s="81"/>
    </row>
    <row r="113" spans="1:8" ht="54" customHeight="1" x14ac:dyDescent="0.55000000000000004">
      <c r="A113" s="1"/>
      <c r="B113" s="2">
        <f>YEAR(DATE(CalendárioAno8,CaléndárioMês8Opção+1,1))</f>
        <v>2026</v>
      </c>
      <c r="C113" s="80" t="str">
        <f>TEXT(DATE(CalendárioAno8,CaléndárioMês8Opção+1,1),"mmmm")</f>
        <v>outubro</v>
      </c>
      <c r="D113" s="81"/>
      <c r="E113" s="81"/>
      <c r="F113" s="1"/>
      <c r="G113" s="1"/>
      <c r="H113" s="1"/>
    </row>
    <row r="114" spans="1:8" ht="14.25" customHeight="1" x14ac:dyDescent="0.3">
      <c r="A114" s="4"/>
      <c r="B114" s="5" t="str">
        <f t="shared" ref="B114:H114" si="8">UPPER(TEXT(B115,"dddd"))</f>
        <v>DOMINGO</v>
      </c>
      <c r="C114" s="6" t="str">
        <f t="shared" si="8"/>
        <v>SEGUNDA-FEIRA</v>
      </c>
      <c r="D114" s="5" t="str">
        <f t="shared" si="8"/>
        <v>TERÇA-FEIRA</v>
      </c>
      <c r="E114" s="6" t="str">
        <f t="shared" si="8"/>
        <v>QUARTA-FEIRA</v>
      </c>
      <c r="F114" s="5" t="str">
        <f t="shared" si="8"/>
        <v>QUINTA-FEIRA</v>
      </c>
      <c r="G114" s="6" t="str">
        <f t="shared" si="8"/>
        <v>SEXTA-FEIRA</v>
      </c>
      <c r="H114" s="5" t="str">
        <f t="shared" si="8"/>
        <v>SÁBADO</v>
      </c>
    </row>
    <row r="115" spans="1:8" ht="16.5" customHeight="1" x14ac:dyDescent="0.3">
      <c r="A115" s="3"/>
      <c r="B115" s="7">
        <f t="array" ref="B115:H115">Dias+1+DATE(CalendárioAno9,CaléndárioMês9Opção,1)-WEEKDAY(DATE(CalendárioAno9,CaléndárioMês9Opção,1),DiaDaSemanaOpção)</f>
        <v>46292</v>
      </c>
      <c r="C115" s="7">
        <v>46293</v>
      </c>
      <c r="D115" s="7">
        <v>46294</v>
      </c>
      <c r="E115" s="7">
        <v>46295</v>
      </c>
      <c r="F115" s="7">
        <v>46296</v>
      </c>
      <c r="G115" s="7">
        <v>46297</v>
      </c>
      <c r="H115" s="8">
        <v>46298</v>
      </c>
    </row>
    <row r="116" spans="1:8" ht="141" customHeight="1" x14ac:dyDescent="0.3">
      <c r="A116" s="3"/>
      <c r="B116" s="9"/>
      <c r="C116" s="9"/>
      <c r="D116" s="9"/>
      <c r="E116" s="68"/>
      <c r="F116" s="18" t="s">
        <v>118</v>
      </c>
      <c r="G116" s="64" t="s">
        <v>118</v>
      </c>
      <c r="H116" s="11"/>
    </row>
    <row r="117" spans="1:8" ht="16.5" customHeight="1" x14ac:dyDescent="0.3">
      <c r="A117" s="3"/>
      <c r="B117" s="7">
        <f t="array" ref="B117:H117">Dias+8+DATE(CalendárioAno9,CaléndárioMês9Opção,1)-WEEKDAY(DATE(CalendárioAno9,CaléndárioMês9Opção,1),DiaDaSemanaOpção)</f>
        <v>46299</v>
      </c>
      <c r="C117" s="7">
        <v>46300</v>
      </c>
      <c r="D117" s="7">
        <v>46301</v>
      </c>
      <c r="E117" s="7">
        <v>46302</v>
      </c>
      <c r="F117" s="7">
        <v>46303</v>
      </c>
      <c r="G117" s="7">
        <v>46304</v>
      </c>
      <c r="H117" s="8">
        <v>46305</v>
      </c>
    </row>
    <row r="118" spans="1:8" ht="216" customHeight="1" x14ac:dyDescent="0.3">
      <c r="A118" s="3"/>
      <c r="B118" s="9"/>
      <c r="C118" s="27"/>
      <c r="D118" s="10"/>
      <c r="E118" s="69" t="s">
        <v>119</v>
      </c>
      <c r="F118" s="32"/>
      <c r="G118" s="18"/>
      <c r="H118" s="11"/>
    </row>
    <row r="119" spans="1:8" ht="16.5" customHeight="1" x14ac:dyDescent="0.3">
      <c r="A119" s="3"/>
      <c r="B119" s="7">
        <f t="array" ref="B119:H119">Dias+15+DATE(CalendárioAno9,CaléndárioMês9Opção,1)-WEEKDAY(DATE(CalendárioAno9,CaléndárioMês9Opção,1),DiaDaSemanaOpção)</f>
        <v>46306</v>
      </c>
      <c r="C119" s="7">
        <v>46307</v>
      </c>
      <c r="D119" s="7">
        <v>46308</v>
      </c>
      <c r="E119" s="7">
        <v>46309</v>
      </c>
      <c r="F119" s="7">
        <v>46310</v>
      </c>
      <c r="G119" s="7">
        <v>46311</v>
      </c>
      <c r="H119" s="8">
        <v>46312</v>
      </c>
    </row>
    <row r="120" spans="1:8" ht="86.25" customHeight="1" x14ac:dyDescent="0.3">
      <c r="A120" s="3"/>
      <c r="B120" s="9"/>
      <c r="C120" s="17" t="s">
        <v>47</v>
      </c>
      <c r="D120" s="27"/>
      <c r="E120" s="27"/>
      <c r="F120" s="18" t="s">
        <v>120</v>
      </c>
      <c r="G120" s="64" t="s">
        <v>120</v>
      </c>
      <c r="H120" s="11"/>
    </row>
    <row r="121" spans="1:8" ht="16.5" customHeight="1" x14ac:dyDescent="0.3">
      <c r="A121" s="3"/>
      <c r="B121" s="7">
        <f t="array" ref="B121:H121">Dias+22+DATE(CalendárioAno9,CaléndárioMês9Opção,1)-WEEKDAY(DATE(CalendárioAno9,CaléndárioMês9Opção,1),DiaDaSemanaOpção)</f>
        <v>46313</v>
      </c>
      <c r="C121" s="7">
        <v>46314</v>
      </c>
      <c r="D121" s="7">
        <v>46315</v>
      </c>
      <c r="E121" s="7">
        <v>46316</v>
      </c>
      <c r="F121" s="7">
        <v>46317</v>
      </c>
      <c r="G121" s="7">
        <v>46318</v>
      </c>
      <c r="H121" s="8">
        <v>46319</v>
      </c>
    </row>
    <row r="122" spans="1:8" ht="189.75" customHeight="1" x14ac:dyDescent="0.3">
      <c r="A122" s="3"/>
      <c r="B122" s="9"/>
      <c r="C122" s="9"/>
      <c r="D122" s="9"/>
      <c r="E122" s="69" t="s">
        <v>121</v>
      </c>
      <c r="F122" s="27"/>
      <c r="G122" s="27" t="s">
        <v>122</v>
      </c>
      <c r="H122" s="19"/>
    </row>
    <row r="123" spans="1:8" ht="31.5" customHeight="1" x14ac:dyDescent="0.3">
      <c r="A123" s="3"/>
      <c r="B123" s="7">
        <f t="array" ref="B123:H123">Dias+29+DATE(CalendárioAno9,CaléndárioMês9Opção,1)-WEEKDAY(DATE(CalendárioAno9,CaléndárioMês9Opção,1),DiaDaSemanaOpção)</f>
        <v>46320</v>
      </c>
      <c r="C123" s="7">
        <v>46321</v>
      </c>
      <c r="D123" s="7">
        <v>46322</v>
      </c>
      <c r="E123" s="7">
        <v>46323</v>
      </c>
      <c r="F123" s="7">
        <v>46324</v>
      </c>
      <c r="G123" s="7">
        <v>46325</v>
      </c>
      <c r="H123" s="8">
        <v>46326</v>
      </c>
    </row>
    <row r="124" spans="1:8" ht="96" customHeight="1" x14ac:dyDescent="0.3">
      <c r="A124" s="3"/>
      <c r="B124" s="9"/>
      <c r="C124" s="12"/>
      <c r="D124" s="12"/>
      <c r="E124" s="17" t="s">
        <v>123</v>
      </c>
      <c r="F124" s="18" t="s">
        <v>124</v>
      </c>
      <c r="G124" s="64" t="s">
        <v>125</v>
      </c>
      <c r="H124" s="25"/>
    </row>
    <row r="125" spans="1:8" ht="16.5" customHeight="1" x14ac:dyDescent="0.3">
      <c r="A125" s="3"/>
      <c r="B125" s="7">
        <f t="array" ref="B125:C125">Dias+36+DATE(CalendárioAno9,CaléndárioMês9Opção,1)-WEEKDAY(DATE(CalendárioAno9,CaléndárioMês9Opção,1),DiaDaSemanaOpção)</f>
        <v>46327</v>
      </c>
      <c r="C125" s="7">
        <v>46328</v>
      </c>
      <c r="D125" s="88" t="s">
        <v>22</v>
      </c>
      <c r="E125" s="89"/>
      <c r="F125" s="89"/>
      <c r="G125" s="89"/>
      <c r="H125" s="89"/>
    </row>
    <row r="126" spans="1:8" ht="63.75" customHeight="1" x14ac:dyDescent="0.3">
      <c r="A126" s="3"/>
      <c r="B126" s="9"/>
      <c r="C126" s="9"/>
      <c r="D126" s="90"/>
      <c r="E126" s="81"/>
      <c r="F126" s="81"/>
      <c r="G126" s="81"/>
      <c r="H126" s="81"/>
    </row>
    <row r="127" spans="1:8" ht="54" customHeight="1" x14ac:dyDescent="0.55000000000000004">
      <c r="A127" s="1"/>
      <c r="B127" s="2">
        <f>YEAR(DATE(CalendárioAno9,CaléndárioMês9Opção+1,1))</f>
        <v>2026</v>
      </c>
      <c r="C127" s="80" t="str">
        <f>TEXT(DATE(CalendárioAno9,CaléndárioMês9Opção+1,1),"mmmm")</f>
        <v>novembro</v>
      </c>
      <c r="D127" s="81"/>
      <c r="E127" s="81"/>
      <c r="F127" s="1"/>
      <c r="G127" s="1"/>
      <c r="H127" s="1"/>
    </row>
    <row r="128" spans="1:8" ht="14.25" customHeight="1" x14ac:dyDescent="0.3">
      <c r="A128" s="4"/>
      <c r="B128" s="5" t="str">
        <f t="shared" ref="B128:H128" si="9">UPPER(TEXT(B129,"dddd"))</f>
        <v>DOMINGO</v>
      </c>
      <c r="C128" s="6" t="str">
        <f t="shared" si="9"/>
        <v>SEGUNDA-FEIRA</v>
      </c>
      <c r="D128" s="5" t="str">
        <f t="shared" si="9"/>
        <v>TERÇA-FEIRA</v>
      </c>
      <c r="E128" s="6" t="str">
        <f t="shared" si="9"/>
        <v>QUARTA-FEIRA</v>
      </c>
      <c r="F128" s="5" t="str">
        <f t="shared" si="9"/>
        <v>QUINTA-FEIRA</v>
      </c>
      <c r="G128" s="6" t="str">
        <f t="shared" si="9"/>
        <v>SEXTA-FEIRA</v>
      </c>
      <c r="H128" s="5" t="str">
        <f t="shared" si="9"/>
        <v>SÁBADO</v>
      </c>
    </row>
    <row r="129" spans="1:8" ht="16.5" customHeight="1" x14ac:dyDescent="0.3">
      <c r="A129" s="3"/>
      <c r="B129" s="7">
        <f t="array" ref="B129:H129">Dias+1+DATE(CalendárioAno10,CaléndárioMês10Opção,1)-WEEKDAY(DATE(CalendárioAno10,CaléndárioMês10Opção,1),DiaDaSemanaOpção)</f>
        <v>46327</v>
      </c>
      <c r="C129" s="7">
        <v>46328</v>
      </c>
      <c r="D129" s="7">
        <v>46329</v>
      </c>
      <c r="E129" s="7">
        <v>46330</v>
      </c>
      <c r="F129" s="7">
        <v>46331</v>
      </c>
      <c r="G129" s="7">
        <v>46332</v>
      </c>
      <c r="H129" s="8">
        <v>46333</v>
      </c>
    </row>
    <row r="130" spans="1:8" ht="179.25" customHeight="1" x14ac:dyDescent="0.3">
      <c r="A130" s="3"/>
      <c r="B130" s="9"/>
      <c r="C130" s="17" t="s">
        <v>47</v>
      </c>
      <c r="D130" s="24"/>
      <c r="E130" s="63" t="s">
        <v>126</v>
      </c>
      <c r="F130" s="12"/>
      <c r="G130" s="12"/>
      <c r="H130" s="11"/>
    </row>
    <row r="131" spans="1:8" ht="16.5" customHeight="1" x14ac:dyDescent="0.3">
      <c r="A131" s="3"/>
      <c r="B131" s="7">
        <f t="array" ref="B131:H131">Dias+8+DATE(CalendárioAno10,CaléndárioMês10Opção,1)-WEEKDAY(DATE(CalendárioAno10,CaléndárioMês10Opção,1),DiaDaSemanaOpção)</f>
        <v>46334</v>
      </c>
      <c r="C131" s="15">
        <v>46335</v>
      </c>
      <c r="D131" s="15">
        <v>46336</v>
      </c>
      <c r="E131" s="15">
        <v>46337</v>
      </c>
      <c r="F131" s="15">
        <v>46338</v>
      </c>
      <c r="G131" s="15">
        <v>46339</v>
      </c>
      <c r="H131" s="8">
        <v>46340</v>
      </c>
    </row>
    <row r="132" spans="1:8" ht="95.25" customHeight="1" x14ac:dyDescent="0.3">
      <c r="A132" s="3"/>
      <c r="B132" s="9"/>
      <c r="C132" s="70" t="s">
        <v>127</v>
      </c>
      <c r="D132" s="70" t="s">
        <v>127</v>
      </c>
      <c r="E132" s="70" t="s">
        <v>127</v>
      </c>
      <c r="F132" s="70" t="s">
        <v>128</v>
      </c>
      <c r="G132" s="70" t="s">
        <v>129</v>
      </c>
      <c r="H132" s="71"/>
    </row>
    <row r="133" spans="1:8" ht="16.5" customHeight="1" x14ac:dyDescent="0.3">
      <c r="A133" s="3"/>
      <c r="B133" s="7">
        <f t="array" ref="B133:H133">Dias+15+DATE(CalendárioAno10,CaléndárioMês10Opção,1)-WEEKDAY(DATE(CalendárioAno10,CaléndárioMês10Opção,1),DiaDaSemanaOpção)</f>
        <v>46341</v>
      </c>
      <c r="C133" s="7">
        <v>46342</v>
      </c>
      <c r="D133" s="7">
        <v>46343</v>
      </c>
      <c r="E133" s="7">
        <v>46344</v>
      </c>
      <c r="F133" s="7">
        <v>46345</v>
      </c>
      <c r="G133" s="7">
        <v>46346</v>
      </c>
      <c r="H133" s="8">
        <v>46347</v>
      </c>
    </row>
    <row r="134" spans="1:8" ht="100.5" customHeight="1" x14ac:dyDescent="0.3">
      <c r="A134" s="3"/>
      <c r="B134" s="72"/>
      <c r="C134" s="12"/>
      <c r="D134" s="12"/>
      <c r="E134" s="73" t="s">
        <v>130</v>
      </c>
      <c r="F134" s="24" t="s">
        <v>131</v>
      </c>
      <c r="G134" s="17" t="s">
        <v>47</v>
      </c>
      <c r="H134" s="74"/>
    </row>
    <row r="135" spans="1:8" ht="16.5" customHeight="1" x14ac:dyDescent="0.3">
      <c r="A135" s="3"/>
      <c r="B135" s="7">
        <f t="array" ref="B135:H135">Dias+22+DATE(CalendárioAno10,CaléndárioMês10Opção,1)-WEEKDAY(DATE(CalendárioAno10,CaléndárioMês10Opção,1),DiaDaSemanaOpção)</f>
        <v>46348</v>
      </c>
      <c r="C135" s="7">
        <v>46349</v>
      </c>
      <c r="D135" s="7">
        <v>46350</v>
      </c>
      <c r="E135" s="7">
        <v>46351</v>
      </c>
      <c r="F135" s="7">
        <v>46352</v>
      </c>
      <c r="G135" s="7">
        <v>46353</v>
      </c>
      <c r="H135" s="8">
        <v>46354</v>
      </c>
    </row>
    <row r="136" spans="1:8" ht="118.5" customHeight="1" x14ac:dyDescent="0.3">
      <c r="A136" s="3"/>
      <c r="B136" s="72"/>
      <c r="C136" s="75"/>
      <c r="D136" s="24"/>
      <c r="E136" s="12"/>
      <c r="F136" s="24"/>
      <c r="G136" s="24"/>
      <c r="H136" s="19"/>
    </row>
    <row r="137" spans="1:8" ht="16.5" customHeight="1" x14ac:dyDescent="0.3">
      <c r="A137" s="3"/>
      <c r="B137" s="7">
        <f t="array" ref="B137:H137">Dias+29+DATE(CalendárioAno10,CaléndárioMês10Opção,1)-WEEKDAY(DATE(CalendárioAno10,CaléndárioMês10Opção,1),DiaDaSemanaOpção)</f>
        <v>46355</v>
      </c>
      <c r="C137" s="7">
        <v>46356</v>
      </c>
      <c r="D137" s="7">
        <v>46357</v>
      </c>
      <c r="E137" s="7">
        <v>46358</v>
      </c>
      <c r="F137" s="7">
        <v>46359</v>
      </c>
      <c r="G137" s="7">
        <v>46360</v>
      </c>
      <c r="H137" s="8">
        <v>46361</v>
      </c>
    </row>
    <row r="138" spans="1:8" ht="93.75" customHeight="1" x14ac:dyDescent="0.3">
      <c r="A138" s="3"/>
      <c r="B138" s="9"/>
      <c r="C138" s="76"/>
      <c r="D138" s="76"/>
      <c r="E138" s="76"/>
      <c r="F138" s="76"/>
      <c r="G138" s="27"/>
      <c r="H138" s="76"/>
    </row>
    <row r="139" spans="1:8" ht="16.5" customHeight="1" x14ac:dyDescent="0.3">
      <c r="A139" s="3"/>
      <c r="B139" s="7">
        <f t="array" ref="B139:C139">Dias+36+DATE(CalendárioAno10,CaléndárioMês10Opção,1)-WEEKDAY(DATE(CalendárioAno10,CaléndárioMês10Opção,1),DiaDaSemanaOpção)</f>
        <v>46362</v>
      </c>
      <c r="C139" s="7">
        <v>46363</v>
      </c>
      <c r="D139" s="88" t="s">
        <v>22</v>
      </c>
      <c r="E139" s="89"/>
      <c r="F139" s="89"/>
      <c r="G139" s="89"/>
      <c r="H139" s="89"/>
    </row>
    <row r="140" spans="1:8" ht="63.75" customHeight="1" x14ac:dyDescent="0.3">
      <c r="A140" s="3"/>
      <c r="B140" s="76"/>
      <c r="C140" s="9"/>
      <c r="D140" s="90"/>
      <c r="E140" s="81"/>
      <c r="F140" s="81"/>
      <c r="G140" s="81"/>
      <c r="H140" s="81"/>
    </row>
    <row r="141" spans="1:8" ht="54" customHeight="1" x14ac:dyDescent="0.55000000000000004">
      <c r="A141" s="3"/>
      <c r="B141" s="2">
        <f>YEAR(DATE(CalendárioAno10,CaléndárioMês10Opção+1,1))</f>
        <v>2026</v>
      </c>
      <c r="C141" s="80" t="str">
        <f>TEXT(DATE(CalendárioAno10,CaléndárioMês10Opção+1,1),"mmmm")</f>
        <v>dezembro</v>
      </c>
      <c r="D141" s="81"/>
      <c r="E141" s="81"/>
      <c r="F141" s="1"/>
      <c r="G141" s="1"/>
      <c r="H141" s="1"/>
    </row>
    <row r="142" spans="1:8" ht="14.25" customHeight="1" x14ac:dyDescent="0.3">
      <c r="A142" s="3"/>
      <c r="B142" s="5" t="str">
        <f t="shared" ref="B142:H142" si="10">UPPER(TEXT(B143,"dddd"))</f>
        <v>DOMINGO</v>
      </c>
      <c r="C142" s="6" t="str">
        <f t="shared" si="10"/>
        <v>SEGUNDA-FEIRA</v>
      </c>
      <c r="D142" s="5" t="str">
        <f t="shared" si="10"/>
        <v>TERÇA-FEIRA</v>
      </c>
      <c r="E142" s="6" t="str">
        <f t="shared" si="10"/>
        <v>QUARTA-FEIRA</v>
      </c>
      <c r="F142" s="5" t="str">
        <f t="shared" si="10"/>
        <v>QUINTA-FEIRA</v>
      </c>
      <c r="G142" s="6" t="str">
        <f t="shared" si="10"/>
        <v>SEXTA-FEIRA</v>
      </c>
      <c r="H142" s="5" t="str">
        <f t="shared" si="10"/>
        <v>SÁBADO</v>
      </c>
    </row>
    <row r="143" spans="1:8" ht="16.5" customHeight="1" x14ac:dyDescent="0.3">
      <c r="A143" s="3"/>
      <c r="B143" s="7">
        <f t="array" ref="B143:H143">Dias+1+DATE(CalendárioAno11,CaléndárioMês11Opção,1)-WEEKDAY(DATE(CalendárioAno11,CaléndárioMês11Opção,1),DiaDaSemanaOpção)</f>
        <v>46355</v>
      </c>
      <c r="C143" s="7">
        <v>46356</v>
      </c>
      <c r="D143" s="7">
        <v>46357</v>
      </c>
      <c r="E143" s="7">
        <v>46358</v>
      </c>
      <c r="F143" s="7">
        <v>46359</v>
      </c>
      <c r="G143" s="7">
        <v>46360</v>
      </c>
      <c r="H143" s="8">
        <v>46361</v>
      </c>
    </row>
    <row r="144" spans="1:8" ht="90" customHeight="1" x14ac:dyDescent="0.3">
      <c r="A144" s="3"/>
      <c r="B144" s="9"/>
      <c r="C144" s="9"/>
      <c r="D144" s="76"/>
      <c r="E144" s="76"/>
      <c r="F144" s="27"/>
      <c r="G144" s="27"/>
      <c r="H144" s="77"/>
    </row>
    <row r="145" spans="1:8" ht="16.5" customHeight="1" x14ac:dyDescent="0.3">
      <c r="A145" s="3"/>
      <c r="B145" s="7">
        <f t="array" ref="B145:H145">Dias+8+DATE(CalendárioAno11,CaléndárioMês11Opção,1)-WEEKDAY(DATE(CalendárioAno11,CaléndárioMês11Opção,1),DiaDaSemanaOpção)</f>
        <v>46362</v>
      </c>
      <c r="C145" s="7">
        <v>46363</v>
      </c>
      <c r="D145" s="7">
        <v>46364</v>
      </c>
      <c r="E145" s="7">
        <v>46365</v>
      </c>
      <c r="F145" s="7">
        <v>46366</v>
      </c>
      <c r="G145" s="7">
        <v>46367</v>
      </c>
      <c r="H145" s="8">
        <v>46368</v>
      </c>
    </row>
    <row r="146" spans="1:8" ht="56.25" customHeight="1" x14ac:dyDescent="0.3">
      <c r="A146" s="3"/>
      <c r="B146" s="76"/>
      <c r="C146" s="17" t="s">
        <v>57</v>
      </c>
      <c r="D146" s="17" t="s">
        <v>47</v>
      </c>
      <c r="E146" s="76"/>
      <c r="F146" s="27" t="s">
        <v>132</v>
      </c>
      <c r="G146" s="24" t="s">
        <v>122</v>
      </c>
      <c r="H146" s="78"/>
    </row>
    <row r="147" spans="1:8" ht="16.5" customHeight="1" x14ac:dyDescent="0.3">
      <c r="A147" s="3"/>
      <c r="B147" s="7">
        <f t="array" ref="B147:H147">Dias+15+DATE(CalendárioAno11,CaléndárioMês11Opção,1)-WEEKDAY(DATE(CalendárioAno11,CaléndárioMês11Opção,1),DiaDaSemanaOpção)</f>
        <v>46369</v>
      </c>
      <c r="C147" s="7">
        <v>46370</v>
      </c>
      <c r="D147" s="7">
        <v>46371</v>
      </c>
      <c r="E147" s="7">
        <v>46372</v>
      </c>
      <c r="F147" s="7">
        <v>46373</v>
      </c>
      <c r="G147" s="7">
        <v>46374</v>
      </c>
      <c r="H147" s="8">
        <v>46375</v>
      </c>
    </row>
    <row r="148" spans="1:8" ht="56.25" customHeight="1" x14ac:dyDescent="0.3">
      <c r="A148" s="3"/>
      <c r="B148" s="76"/>
      <c r="C148" s="76"/>
      <c r="D148" s="76"/>
      <c r="E148" s="76"/>
      <c r="F148" s="76"/>
      <c r="G148" s="27" t="s">
        <v>133</v>
      </c>
      <c r="H148" s="78"/>
    </row>
    <row r="149" spans="1:8" ht="16.5" customHeight="1" x14ac:dyDescent="0.3">
      <c r="A149" s="3"/>
      <c r="B149" s="7">
        <f t="array" ref="B149:H149">Dias+22+DATE(CalendárioAno11,CaléndárioMês11Opção,1)-WEEKDAY(DATE(CalendárioAno11,CaléndárioMês11Opção,1),DiaDaSemanaOpção)</f>
        <v>46376</v>
      </c>
      <c r="C149" s="7">
        <v>46377</v>
      </c>
      <c r="D149" s="7">
        <v>46378</v>
      </c>
      <c r="E149" s="7">
        <v>46379</v>
      </c>
      <c r="F149" s="7">
        <v>46380</v>
      </c>
      <c r="G149" s="7">
        <v>46381</v>
      </c>
      <c r="H149" s="8">
        <v>46382</v>
      </c>
    </row>
    <row r="150" spans="1:8" ht="56.25" customHeight="1" x14ac:dyDescent="0.3">
      <c r="A150" s="3"/>
      <c r="B150" s="79"/>
      <c r="C150" s="79"/>
      <c r="D150" s="79"/>
      <c r="E150" s="24"/>
      <c r="F150" s="24"/>
      <c r="G150" s="17" t="s">
        <v>47</v>
      </c>
      <c r="H150" s="11"/>
    </row>
    <row r="151" spans="1:8" ht="16.5" customHeight="1" x14ac:dyDescent="0.3">
      <c r="A151" s="3"/>
      <c r="B151" s="7">
        <f t="array" ref="B151:H151">Dias+29+DATE(CalendárioAno11,CaléndárioMês11Opção,1)-WEEKDAY(DATE(CalendárioAno11,CaléndárioMês11Opção,1),DiaDaSemanaOpção)</f>
        <v>46383</v>
      </c>
      <c r="C151" s="7">
        <v>46384</v>
      </c>
      <c r="D151" s="7">
        <v>46385</v>
      </c>
      <c r="E151" s="7">
        <v>46386</v>
      </c>
      <c r="F151" s="7">
        <v>46387</v>
      </c>
      <c r="G151" s="7">
        <v>46388</v>
      </c>
      <c r="H151" s="8">
        <v>46389</v>
      </c>
    </row>
    <row r="152" spans="1:8" ht="57" customHeight="1" x14ac:dyDescent="0.3">
      <c r="A152" s="3"/>
      <c r="B152" s="9"/>
      <c r="C152" s="12"/>
      <c r="D152" s="12"/>
      <c r="E152" s="24"/>
      <c r="F152" s="24"/>
      <c r="G152" s="9"/>
      <c r="H152" s="25"/>
    </row>
    <row r="153" spans="1:8" ht="16.5" customHeight="1" x14ac:dyDescent="0.3">
      <c r="A153" s="3"/>
      <c r="B153" s="7">
        <f t="array" ref="B153:C153">Dias+36+DATE(CalendárioAno11,CaléndárioMês11Opção,1)-WEEKDAY(DATE(CalendárioAno11,CaléndárioMês11Opção,1),DiaDaSemanaOpção)</f>
        <v>46390</v>
      </c>
      <c r="C153" s="7">
        <v>46391</v>
      </c>
      <c r="D153" s="88" t="s">
        <v>22</v>
      </c>
      <c r="E153" s="89"/>
      <c r="F153" s="89"/>
      <c r="G153" s="89"/>
      <c r="H153" s="89"/>
    </row>
    <row r="154" spans="1:8" ht="63.75" customHeight="1" x14ac:dyDescent="0.3">
      <c r="A154" s="3"/>
      <c r="B154" s="9"/>
      <c r="C154" s="9"/>
      <c r="D154" s="90"/>
      <c r="E154" s="81"/>
      <c r="F154" s="81"/>
      <c r="G154" s="81"/>
      <c r="H154" s="81"/>
    </row>
  </sheetData>
  <mergeCells count="33">
    <mergeCell ref="D154:H154"/>
    <mergeCell ref="D98:H98"/>
    <mergeCell ref="D111:H111"/>
    <mergeCell ref="D112:H112"/>
    <mergeCell ref="C113:E113"/>
    <mergeCell ref="D125:H125"/>
    <mergeCell ref="D126:H126"/>
    <mergeCell ref="C127:E127"/>
    <mergeCell ref="C99:E99"/>
    <mergeCell ref="D139:H139"/>
    <mergeCell ref="D140:H140"/>
    <mergeCell ref="C141:E141"/>
    <mergeCell ref="D153:H153"/>
    <mergeCell ref="C71:E71"/>
    <mergeCell ref="D83:H83"/>
    <mergeCell ref="D84:H84"/>
    <mergeCell ref="C85:E85"/>
    <mergeCell ref="D97:H97"/>
    <mergeCell ref="D55:H55"/>
    <mergeCell ref="D56:H56"/>
    <mergeCell ref="C57:E57"/>
    <mergeCell ref="D69:H69"/>
    <mergeCell ref="D70:H70"/>
    <mergeCell ref="D28:H28"/>
    <mergeCell ref="C29:E29"/>
    <mergeCell ref="D41:H41"/>
    <mergeCell ref="D42:H42"/>
    <mergeCell ref="C43:E43"/>
    <mergeCell ref="C1:E1"/>
    <mergeCell ref="D13:H13"/>
    <mergeCell ref="D14:H14"/>
    <mergeCell ref="C15:E15"/>
    <mergeCell ref="D27:H27"/>
  </mergeCells>
  <dataValidations count="2">
    <dataValidation type="list" allowBlank="1" showInputMessage="1" prompt="Selecione o dia de início da semana nesta célula. Pressione Alt+Seta para baixo para abrir a lista suspensa e depois Enter para fazer a seleção. O calendário será atualizado automaticamente" sqref="B2" xr:uid="{00000000-0002-0000-0000-000000000000}">
      <formula1>"DOMINGO,SEGUNDA-FEIRA,TERÇA-FEIRA,QUARTA-FEIRA,QUINTA-FEIRA,SEXTA-FEIRA,SÁBADO"</formula1>
    </dataValidation>
    <dataValidation type="list" allowBlank="1" showInputMessage="1" prompt="Selecione o mês de início do calendário nesta célula. Pressione Alt+Seta para baixo para abrir a lista suspensa e Enter para fazer a seleção" sqref="C1" xr:uid="{00000000-0002-0000-0000-000001000000}">
      <formula1>"janeiro,fevereiro,março,abril,maio,junho,julho,agosto,setembro,outubro,novembro,dezembro"</formula1>
    </dataValidation>
  </dataValidations>
  <hyperlinks>
    <hyperlink ref="G52" r:id="rId1" xr:uid="{00000000-0004-0000-0000-000000000000}"/>
    <hyperlink ref="C54" r:id="rId2" xr:uid="{00000000-0004-0000-0000-000001000000}"/>
  </hyperlinks>
  <printOptions horizontalCentered="1" verticalCentered="1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56</vt:i4>
      </vt:variant>
    </vt:vector>
  </HeadingPairs>
  <TitlesOfParts>
    <vt:vector size="57" baseType="lpstr">
      <vt:lpstr>Calendário</vt:lpstr>
      <vt:lpstr>CalendárioAno1</vt:lpstr>
      <vt:lpstr>CalendárioAno10</vt:lpstr>
      <vt:lpstr>CalendárioAno11</vt:lpstr>
      <vt:lpstr>CalendárioAno2</vt:lpstr>
      <vt:lpstr>CalendárioAno3</vt:lpstr>
      <vt:lpstr>CalendárioAno4</vt:lpstr>
      <vt:lpstr>CalendárioAno5</vt:lpstr>
      <vt:lpstr>CalendárioAno6</vt:lpstr>
      <vt:lpstr>CalendárioAno7</vt:lpstr>
      <vt:lpstr>CalendárioAno8</vt:lpstr>
      <vt:lpstr>CalendárioAno9</vt:lpstr>
      <vt:lpstr>CaléndárioMês1</vt:lpstr>
      <vt:lpstr>CaléndárioMês10</vt:lpstr>
      <vt:lpstr>CaléndárioMês11</vt:lpstr>
      <vt:lpstr>CaléndárioMês2</vt:lpstr>
      <vt:lpstr>CaléndárioMês3</vt:lpstr>
      <vt:lpstr>CaléndárioMês4</vt:lpstr>
      <vt:lpstr>CaléndárioMês5</vt:lpstr>
      <vt:lpstr>CaléndárioMês6</vt:lpstr>
      <vt:lpstr>CaléndárioMês7</vt:lpstr>
      <vt:lpstr>CaléndárioMês8</vt:lpstr>
      <vt:lpstr>CaléndárioMês9</vt:lpstr>
      <vt:lpstr>InícioDaSemana</vt:lpstr>
      <vt:lpstr>RegiãoTítuloColuna1..H12.1</vt:lpstr>
      <vt:lpstr>RegiãoTítuloColuna10..H54.1</vt:lpstr>
      <vt:lpstr>RegiãoTítuloColuna11..C56.1</vt:lpstr>
      <vt:lpstr>RegiãoTítuloColuna12..D56.1</vt:lpstr>
      <vt:lpstr>RegiãoTítuloColuna13..H68.1</vt:lpstr>
      <vt:lpstr>RegiãoTítuloColuna14..C70.1</vt:lpstr>
      <vt:lpstr>RegiãoTítuloColuna15..D70.1</vt:lpstr>
      <vt:lpstr>RegiãoTítuloColuna16..H82.1</vt:lpstr>
      <vt:lpstr>RegiãoTítuloColuna17..C84.1</vt:lpstr>
      <vt:lpstr>RegiãoTítuloColuna18..D84.1</vt:lpstr>
      <vt:lpstr>RegiãoTítuloColuna19..H96.1</vt:lpstr>
      <vt:lpstr>RegiãoTítuloColuna2..C14.1</vt:lpstr>
      <vt:lpstr>RegiãoTítuloColuna20..C98.1</vt:lpstr>
      <vt:lpstr>RegiãoTítuloColuna21..D98.1</vt:lpstr>
      <vt:lpstr>RegiãoTítuloColuna22..H110.1</vt:lpstr>
      <vt:lpstr>RegiãoTítuloColuna23..C112.1</vt:lpstr>
      <vt:lpstr>RegiãoTítuloColuna24..D112.1</vt:lpstr>
      <vt:lpstr>RegiãoTítuloColuna25..H124.1</vt:lpstr>
      <vt:lpstr>RegiãoTítuloColuna26..C126.1</vt:lpstr>
      <vt:lpstr>RegiãoTítuloColuna27..D126.1</vt:lpstr>
      <vt:lpstr>RegiãoTítuloColuna28..H138.1</vt:lpstr>
      <vt:lpstr>RegiãoTítuloColuna29..C140.1</vt:lpstr>
      <vt:lpstr>RegiãoTítuloColuna3..D14.1</vt:lpstr>
      <vt:lpstr>RegiãoTítuloColuna30..D140.1</vt:lpstr>
      <vt:lpstr>RegiãoTítuloColuna31..H152.1</vt:lpstr>
      <vt:lpstr>RegiãoTítuloColuna32..C154.1</vt:lpstr>
      <vt:lpstr>RegiãoTítuloColuna33..D154.1</vt:lpstr>
      <vt:lpstr>RegiãoTítuloColuna4..H26.1</vt:lpstr>
      <vt:lpstr>RegiãoTítuloColuna5..C28.1</vt:lpstr>
      <vt:lpstr>RegiãoTítuloColuna6..D28.1</vt:lpstr>
      <vt:lpstr>RegiãoTítuloColuna7..H40.1</vt:lpstr>
      <vt:lpstr>RegiãoTítuloColuna8..C42.1</vt:lpstr>
      <vt:lpstr>RegiãoTítuloColuna9..D42.1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Débora Endemias</cp:lastModifiedBy>
  <dcterms:created xsi:type="dcterms:W3CDTF">2018-02-18T23:49:08Z</dcterms:created>
  <dcterms:modified xsi:type="dcterms:W3CDTF">2026-05-20T19:01:24Z</dcterms:modified>
</cp:coreProperties>
</file>